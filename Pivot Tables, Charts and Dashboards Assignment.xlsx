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pivotTables/pivotTable8.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E:\PWSKILLS\EXCEL\Assignment4(pivot charts and graphs)\"/>
    </mc:Choice>
  </mc:AlternateContent>
  <bookViews>
    <workbookView xWindow="0" yWindow="0" windowWidth="23040" windowHeight="8112" activeTab="1"/>
  </bookViews>
  <sheets>
    <sheet name="Dataset" sheetId="1" r:id="rId1"/>
    <sheet name="Question 1" sheetId="2" r:id="rId2"/>
    <sheet name="Question 2" sheetId="3" r:id="rId3"/>
    <sheet name="Question 3" sheetId="4" r:id="rId4"/>
    <sheet name="Question 4" sheetId="5" r:id="rId5"/>
    <sheet name="Question 5" sheetId="6" r:id="rId6"/>
    <sheet name="Question 6" sheetId="7" r:id="rId7"/>
    <sheet name="Question 7" sheetId="8" r:id="rId8"/>
    <sheet name="Question 8" sheetId="9" r:id="rId9"/>
    <sheet name="Question 9" sheetId="10" r:id="rId10"/>
    <sheet name="Question 10" sheetId="11" r:id="rId11"/>
  </sheets>
  <definedNames>
    <definedName name="_xlnm._FilterDatabase" localSheetId="4" hidden="1">'Question 4'!$A$35:$E$55</definedName>
    <definedName name="Slicer_Product">#N/A</definedName>
    <definedName name="Slicer_Product1">#N/A</definedName>
  </definedNames>
  <calcPr calcId="152511"/>
  <pivotCaches>
    <pivotCache cacheId="25" r:id="rId12"/>
    <pivotCache cacheId="28"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alcChain>
</file>

<file path=xl/sharedStrings.xml><?xml version="1.0" encoding="utf-8"?>
<sst xmlns="http://schemas.openxmlformats.org/spreadsheetml/2006/main" count="297" uniqueCount="79">
  <si>
    <t>Date</t>
  </si>
  <si>
    <t>Region</t>
  </si>
  <si>
    <t>Product</t>
  </si>
  <si>
    <t>Sales</t>
  </si>
  <si>
    <t>Quantity</t>
  </si>
  <si>
    <t>01-01-2024 00:00</t>
  </si>
  <si>
    <t>West</t>
  </si>
  <si>
    <t>Mangoes</t>
  </si>
  <si>
    <t>10-01-2024 12:37</t>
  </si>
  <si>
    <t>South</t>
  </si>
  <si>
    <t>Oranges</t>
  </si>
  <si>
    <t>20-01-2024 01:15</t>
  </si>
  <si>
    <t>29-01-2024 13:53</t>
  </si>
  <si>
    <t>Apples</t>
  </si>
  <si>
    <t>08-02-2024 02:31</t>
  </si>
  <si>
    <t>17-02-2024 15:09</t>
  </si>
  <si>
    <t>27-02-2024 03:47</t>
  </si>
  <si>
    <t>07-03-2024 16:25</t>
  </si>
  <si>
    <t>17-03-2024 05:03</t>
  </si>
  <si>
    <t>26-03-2024 17:41</t>
  </si>
  <si>
    <t>05-04-2024 06:18</t>
  </si>
  <si>
    <t>14-04-2024 18:56</t>
  </si>
  <si>
    <t>24-04-2024 07:34</t>
  </si>
  <si>
    <t>East</t>
  </si>
  <si>
    <t>03-05-2024 20:12</t>
  </si>
  <si>
    <t>13-05-2024 08:50</t>
  </si>
  <si>
    <t>22-05-2024 21:28</t>
  </si>
  <si>
    <t>01-06-2024 10:06</t>
  </si>
  <si>
    <t>10-06-2024 22:44</t>
  </si>
  <si>
    <t>20-06-2024 11:22</t>
  </si>
  <si>
    <t>North</t>
  </si>
  <si>
    <t>30-06-2024 00:00</t>
  </si>
  <si>
    <t>Question 1:</t>
  </si>
  <si>
    <t>What is the purpose of a PivotTable in Excel?</t>
  </si>
  <si>
    <t>Answer:</t>
  </si>
  <si>
    <t>Question 2:</t>
  </si>
  <si>
    <t>Create a PivotTable to show Total Sales by Region.</t>
  </si>
  <si>
    <t>Question 3:</t>
  </si>
  <si>
    <t>Apply Conditional Formatting to highlight sales greater than 400.</t>
  </si>
  <si>
    <t>Question 4:</t>
  </si>
  <si>
    <t>Explain the difference between Sorting and Filtering with an example from this dataset.</t>
  </si>
  <si>
    <t>Question 5:</t>
  </si>
  <si>
    <t>Create a PivotChart showing Monthly Sales Trend.</t>
  </si>
  <si>
    <t>Question 6:</t>
  </si>
  <si>
    <t>Use a Slicer to filter data by Product and observe changes in sales.</t>
  </si>
  <si>
    <t>Question 7:</t>
  </si>
  <si>
    <t>Why are Dashboards important for decision-making in business analysis?</t>
  </si>
  <si>
    <t>Question 8:</t>
  </si>
  <si>
    <t>Create a Dashboard including Sales by Region, Product Filter, and Monthly Trend.</t>
  </si>
  <si>
    <t>Question 9:</t>
  </si>
  <si>
    <t>Group dates into Months and calculate the average sales per month.</t>
  </si>
  <si>
    <t>Question 10:</t>
  </si>
  <si>
    <t>Combine Apples and Oranges into one group called Fruits and compare sales.</t>
  </si>
  <si>
    <t>A PivotTable in Excel is used to summarize, analyze, explore, and present large amounts of data quickly and interactively without changing the original dataset.</t>
  </si>
  <si>
    <t xml:space="preserve"> It can be used to calculate totals, averages, counts, compare categories, and generate quick reports without changing the original data.</t>
  </si>
  <si>
    <t>Row Labels</t>
  </si>
  <si>
    <t>Grand Total</t>
  </si>
  <si>
    <t>Sum of Sales</t>
  </si>
  <si>
    <t>Sorting and Filtering are both used to organize data in Excel, but they serve different purposes.</t>
  </si>
  <si>
    <t>Sorting arranges data in a specific order, such as ascending or descending.</t>
  </si>
  <si>
    <t>It does not hide any data, it only changes the order.</t>
  </si>
  <si>
    <t>Example</t>
  </si>
  <si>
    <t>If we sort the Sales column from Highest to Lowest, the rows with the highest sales values (like 497 or 483) will appear at the top.</t>
  </si>
  <si>
    <t>Other data is temporarily hidden, not deleted.</t>
  </si>
  <si>
    <t>If we apply a filter on the Region column and select North, Excel will show only records from the North region and hide all other regions.</t>
  </si>
  <si>
    <t>Example:</t>
  </si>
  <si>
    <r>
      <t xml:space="preserve">Answer: </t>
    </r>
    <r>
      <rPr>
        <b/>
        <sz val="11"/>
        <color rgb="FF006100"/>
        <rFont val="Calibri"/>
        <family val="2"/>
        <scheme val="minor"/>
      </rPr>
      <t>Filtering</t>
    </r>
    <r>
      <rPr>
        <sz val="11"/>
        <color rgb="FF006100"/>
        <rFont val="Calibri"/>
        <family val="2"/>
        <scheme val="minor"/>
      </rPr>
      <t xml:space="preserve"> displays only the data that meets certain conditions.</t>
    </r>
  </si>
  <si>
    <t>Group1</t>
  </si>
  <si>
    <t>Month</t>
  </si>
  <si>
    <t>Jan</t>
  </si>
  <si>
    <t>Feb</t>
  </si>
  <si>
    <t>Mar</t>
  </si>
  <si>
    <t>Apr</t>
  </si>
  <si>
    <t>May</t>
  </si>
  <si>
    <t>Jun</t>
  </si>
  <si>
    <t>They help managers monitor performance in real time, compare actual results with targets, and identify issues early. Dashboards also combine data from different sources into one place, which supports faster and more informed decisions. Overall, dashboards save time, improve clarity, and enable businesses to make accurate, data-driven decisions.</t>
  </si>
  <si>
    <t>Dashboards are important for decision-making in business analysis because they present key information in a clear, visual, and easy-to-understand way. Instead of going through large reports or raw data, decision makers can quickly see trends, patterns, and problem areas at a glance.</t>
  </si>
  <si>
    <t>Average of Sales</t>
  </si>
  <si>
    <t>Here, I  have expanded the selection(selected entire dataset and then custom sort&gt;&gt;sales column&gt;&gt;smallest to largest</t>
  </si>
</sst>
</file>

<file path=xl/styles.xml><?xml version="1.0" encoding="utf-8"?>
<styleSheet xmlns="http://schemas.openxmlformats.org/spreadsheetml/2006/main" xmlns:mc="http://schemas.openxmlformats.org/markup-compatibility/2006" xmlns:x14ac="http://schemas.microsoft.com/office/spreadsheetml/2009/9/ac" mc:Ignorable="x14ac">
  <fonts count="4" x14ac:knownFonts="1">
    <font>
      <sz val="11"/>
      <color theme="1"/>
      <name val="Calibri"/>
      <family val="2"/>
      <scheme val="minor"/>
    </font>
    <font>
      <sz val="11"/>
      <color rgb="FF006100"/>
      <name val="Calibri"/>
      <family val="2"/>
      <scheme val="minor"/>
    </font>
    <font>
      <sz val="11"/>
      <color rgb="FF9C6500"/>
      <name val="Calibri"/>
      <family val="2"/>
      <scheme val="minor"/>
    </font>
    <font>
      <b/>
      <sz val="11"/>
      <color rgb="FF006100"/>
      <name val="Calibri"/>
      <family val="2"/>
      <scheme val="minor"/>
    </font>
  </fonts>
  <fills count="5">
    <fill>
      <patternFill patternType="none"/>
    </fill>
    <fill>
      <patternFill patternType="gray125"/>
    </fill>
    <fill>
      <patternFill patternType="solid">
        <fgColor rgb="FFC6EFCE"/>
      </patternFill>
    </fill>
    <fill>
      <patternFill patternType="solid">
        <fgColor rgb="FFFFFF00"/>
        <bgColor indexed="64"/>
      </patternFill>
    </fill>
    <fill>
      <patternFill patternType="solid">
        <fgColor rgb="FFFFEB9C"/>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0" fontId="1" fillId="2" borderId="0" applyNumberFormat="0" applyBorder="0" applyAlignment="0" applyProtection="0"/>
    <xf numFmtId="0" fontId="2" fillId="4" borderId="0" applyNumberFormat="0" applyBorder="0" applyAlignment="0" applyProtection="0"/>
  </cellStyleXfs>
  <cellXfs count="17">
    <xf numFmtId="0" fontId="0" fillId="0" borderId="0" xfId="0"/>
    <xf numFmtId="0" fontId="0" fillId="3" borderId="0" xfId="0" applyFill="1"/>
    <xf numFmtId="0" fontId="1" fillId="2" borderId="0" xfId="1"/>
    <xf numFmtId="0" fontId="0" fillId="0" borderId="1" xfId="0" applyFill="1" applyBorder="1"/>
    <xf numFmtId="0" fontId="0" fillId="0" borderId="1" xfId="0" applyFill="1" applyBorder="1" applyAlignment="1">
      <alignment horizontal="left"/>
    </xf>
    <xf numFmtId="0" fontId="0" fillId="0" borderId="1" xfId="0" applyNumberFormat="1" applyFill="1" applyBorder="1"/>
    <xf numFmtId="0" fontId="0" fillId="0" borderId="1" xfId="0" pivotButton="1" applyFill="1" applyBorder="1"/>
    <xf numFmtId="0" fontId="2" fillId="4" borderId="0" xfId="2"/>
    <xf numFmtId="0" fontId="1" fillId="2" borderId="0" xfId="1" applyAlignment="1">
      <alignment horizontal="left" vertical="center" indent="1"/>
    </xf>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cellXfs>
  <cellStyles count="3">
    <cellStyle name="Good" xfId="1" builtinId="26"/>
    <cellStyle name="Neutral" xfId="2" builtinId="28"/>
    <cellStyle name="Normal" xfId="0" builtinId="0"/>
  </cellStyles>
  <dxfs count="32">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006100"/>
      </font>
      <fill>
        <patternFill>
          <bgColor rgb="FFC6EFCE"/>
        </patternFill>
      </fill>
    </dxf>
    <dxf>
      <font>
        <color rgb="FF006100"/>
      </font>
      <fill>
        <patternFill>
          <bgColor rgb="FFC6EF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
      <fill>
        <patternFill patternType="none">
          <bgColor auto="1"/>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[Pivot Tables, Charts and Dashboards Assignment.xlsx]Question 5!PivotTable5</c:name>
    <c:fmtId val="7"/>
  </c:pivotSource>
  <c:chart>
    <c:autoTitleDeleted val="1"/>
    <c:pivotFmts>
      <c:pivotFmt>
        <c:idx val="0"/>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3">
                <a:alpha val="85000"/>
              </a:schemeClr>
            </a:solidFill>
            <a:round/>
          </a:ln>
          <a:effectLst/>
        </c:spPr>
        <c:marker>
          <c:symbol val="circle"/>
          <c:size val="6"/>
          <c:spPr>
            <a:solidFill>
              <a:schemeClr val="accent3">
                <a:alpha val="85000"/>
              </a:schemeClr>
            </a:solidFill>
            <a:ln>
              <a:noFill/>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lineChart>
        <c:grouping val="stacked"/>
        <c:varyColors val="0"/>
        <c:ser>
          <c:idx val="0"/>
          <c:order val="0"/>
          <c:tx>
            <c:strRef>
              <c:f>'Question 5'!$B$6</c:f>
              <c:strCache>
                <c:ptCount val="1"/>
                <c:pt idx="0">
                  <c:v>Total</c:v>
                </c:pt>
              </c:strCache>
            </c:strRef>
          </c:tx>
          <c:spPr>
            <a:ln w="31750" cap="rnd">
              <a:solidFill>
                <a:schemeClr val="accent3">
                  <a:alpha val="85000"/>
                </a:schemeClr>
              </a:solidFill>
              <a:round/>
            </a:ln>
            <a:effectLst/>
          </c:spPr>
          <c:marker>
            <c:symbol val="circle"/>
            <c:size val="6"/>
            <c:spPr>
              <a:solidFill>
                <a:schemeClr val="accent3">
                  <a:alpha val="85000"/>
                </a:schemeClr>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dk1">
                          <a:lumMod val="50000"/>
                          <a:lumOff val="50000"/>
                        </a:schemeClr>
                      </a:solidFill>
                    </a:ln>
                    <a:effectLst/>
                  </c:spPr>
                </c15:leaderLines>
              </c:ext>
            </c:extLst>
          </c:dLbls>
          <c:errBars>
            <c:errDir val="y"/>
            <c:errBarType val="both"/>
            <c:errValType val="stdErr"/>
            <c:noEndCap val="0"/>
            <c:spPr>
              <a:noFill/>
              <a:ln w="9525">
                <a:solidFill>
                  <a:schemeClr val="dk1">
                    <a:lumMod val="65000"/>
                    <a:lumOff val="35000"/>
                  </a:schemeClr>
                </a:solidFill>
                <a:round/>
              </a:ln>
              <a:effectLst/>
            </c:spPr>
          </c:errBars>
          <c:cat>
            <c:strRef>
              <c:f>'Question 5'!$A$7:$A$13</c:f>
              <c:strCache>
                <c:ptCount val="6"/>
                <c:pt idx="0">
                  <c:v>Jan</c:v>
                </c:pt>
                <c:pt idx="1">
                  <c:v>Feb</c:v>
                </c:pt>
                <c:pt idx="2">
                  <c:v>Mar</c:v>
                </c:pt>
                <c:pt idx="3">
                  <c:v>Apr</c:v>
                </c:pt>
                <c:pt idx="4">
                  <c:v>May</c:v>
                </c:pt>
                <c:pt idx="5">
                  <c:v>Jun</c:v>
                </c:pt>
              </c:strCache>
            </c:strRef>
          </c:cat>
          <c:val>
            <c:numRef>
              <c:f>'Question 5'!$B$7:$B$13</c:f>
              <c:numCache>
                <c:formatCode>General</c:formatCode>
                <c:ptCount val="6"/>
                <c:pt idx="0">
                  <c:v>1281</c:v>
                </c:pt>
                <c:pt idx="1">
                  <c:v>1032</c:v>
                </c:pt>
                <c:pt idx="2">
                  <c:v>958</c:v>
                </c:pt>
                <c:pt idx="3">
                  <c:v>1155</c:v>
                </c:pt>
                <c:pt idx="4">
                  <c:v>1286</c:v>
                </c:pt>
                <c:pt idx="5">
                  <c:v>1117</c:v>
                </c:pt>
              </c:numCache>
            </c:numRef>
          </c:val>
          <c:smooth val="0"/>
        </c:ser>
        <c:dLbls>
          <c:showLegendKey val="0"/>
          <c:showVal val="1"/>
          <c:showCatName val="0"/>
          <c:showSerName val="0"/>
          <c:showPercent val="0"/>
          <c:showBubbleSize val="0"/>
        </c:dLbls>
        <c:marker val="1"/>
        <c:smooth val="0"/>
        <c:axId val="579127104"/>
        <c:axId val="579124360"/>
      </c:lineChart>
      <c:catAx>
        <c:axId val="579127104"/>
        <c:scaling>
          <c:orientation val="minMax"/>
        </c:scaling>
        <c:delete val="0"/>
        <c:axPos val="b"/>
        <c:numFmt formatCode="General" sourceLinked="1"/>
        <c:majorTickMark val="out"/>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79124360"/>
        <c:crosses val="autoZero"/>
        <c:auto val="1"/>
        <c:lblAlgn val="ctr"/>
        <c:lblOffset val="100"/>
        <c:noMultiLvlLbl val="0"/>
      </c:catAx>
      <c:valAx>
        <c:axId val="579124360"/>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79127104"/>
        <c:crosses val="autoZero"/>
        <c:crossBetween val="between"/>
      </c:valAx>
      <c:spPr>
        <a:noFill/>
        <a:ln>
          <a:noFill/>
        </a:ln>
        <a:effectLst/>
      </c:spPr>
    </c:plotArea>
    <c:legend>
      <c:legendPos val="r"/>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Charts and Dashboards Assignment.xlsx]Question 8!PivotTable8</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Sales</a:t>
            </a:r>
            <a:r>
              <a:rPr lang="en-IN" baseline="0"/>
              <a:t> By Region</a:t>
            </a:r>
            <a:endParaRPr lang="en-IN"/>
          </a:p>
        </c:rich>
      </c:tx>
      <c:layout>
        <c:manualLayout>
          <c:xMode val="edge"/>
          <c:yMode val="edge"/>
          <c:x val="0.31847452258122905"/>
          <c:y val="1.795560438666097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s>
    <c:plotArea>
      <c:layout>
        <c:manualLayout>
          <c:layoutTarget val="inner"/>
          <c:xMode val="edge"/>
          <c:yMode val="edge"/>
          <c:x val="7.8025371828521428E-2"/>
          <c:y val="0.22161818314377368"/>
          <c:w val="0.76112270341207344"/>
          <c:h val="0.53774387576552929"/>
        </c:manualLayout>
      </c:layout>
      <c:barChart>
        <c:barDir val="col"/>
        <c:grouping val="clustered"/>
        <c:varyColors val="0"/>
        <c:ser>
          <c:idx val="0"/>
          <c:order val="0"/>
          <c:tx>
            <c:strRef>
              <c:f>'Question 8'!$F$37</c:f>
              <c:strCache>
                <c:ptCount val="1"/>
                <c:pt idx="0">
                  <c:v>Total</c:v>
                </c:pt>
              </c:strCache>
            </c:strRef>
          </c:tx>
          <c:spPr>
            <a:solidFill>
              <a:schemeClr val="accent1"/>
            </a:solidFill>
            <a:ln>
              <a:noFill/>
            </a:ln>
            <a:effectLst/>
          </c:spPr>
          <c:invertIfNegative val="0"/>
          <c:cat>
            <c:strRef>
              <c:f>'Question 8'!$E$38:$E$41</c:f>
              <c:strCache>
                <c:ptCount val="3"/>
                <c:pt idx="0">
                  <c:v>North</c:v>
                </c:pt>
                <c:pt idx="1">
                  <c:v>South</c:v>
                </c:pt>
                <c:pt idx="2">
                  <c:v>West</c:v>
                </c:pt>
              </c:strCache>
            </c:strRef>
          </c:cat>
          <c:val>
            <c:numRef>
              <c:f>'Question 8'!$F$38:$F$41</c:f>
              <c:numCache>
                <c:formatCode>General</c:formatCode>
                <c:ptCount val="3"/>
                <c:pt idx="0">
                  <c:v>347</c:v>
                </c:pt>
                <c:pt idx="1">
                  <c:v>845</c:v>
                </c:pt>
                <c:pt idx="2">
                  <c:v>1311</c:v>
                </c:pt>
              </c:numCache>
            </c:numRef>
          </c:val>
        </c:ser>
        <c:dLbls>
          <c:showLegendKey val="0"/>
          <c:showVal val="0"/>
          <c:showCatName val="0"/>
          <c:showSerName val="0"/>
          <c:showPercent val="0"/>
          <c:showBubbleSize val="0"/>
        </c:dLbls>
        <c:gapWidth val="219"/>
        <c:overlap val="-27"/>
        <c:axId val="579124752"/>
        <c:axId val="579125536"/>
      </c:barChart>
      <c:catAx>
        <c:axId val="5791247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25536"/>
        <c:crosses val="autoZero"/>
        <c:auto val="1"/>
        <c:lblAlgn val="ctr"/>
        <c:lblOffset val="100"/>
        <c:noMultiLvlLbl val="0"/>
      </c:catAx>
      <c:valAx>
        <c:axId val="5791255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1247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Tables, Charts and Dashboards Assignment.xlsx]Question 8!PivotTable9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Monthly</a:t>
            </a:r>
            <a:r>
              <a:rPr lang="en-IN" baseline="0"/>
              <a:t> Sales Trend</a:t>
            </a:r>
            <a:endParaRPr lang="en-IN"/>
          </a:p>
        </c:rich>
      </c:tx>
      <c:layout>
        <c:manualLayout>
          <c:xMode val="edge"/>
          <c:yMode val="edge"/>
          <c:x val="0.32656373713380837"/>
          <c:y val="3.13617293901254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manualLayout>
          <c:layoutTarget val="inner"/>
          <c:xMode val="edge"/>
          <c:yMode val="edge"/>
          <c:x val="0.39623568431618256"/>
          <c:y val="0.26161107322214644"/>
          <c:w val="0.60368451568257053"/>
          <c:h val="0.34483383966767933"/>
        </c:manualLayout>
      </c:layout>
      <c:lineChart>
        <c:grouping val="standard"/>
        <c:varyColors val="0"/>
        <c:ser>
          <c:idx val="0"/>
          <c:order val="0"/>
          <c:tx>
            <c:strRef>
              <c:f>'Question 8'!$C$37</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'Question 8'!$B$38:$B$44</c:f>
              <c:strCache>
                <c:ptCount val="6"/>
                <c:pt idx="0">
                  <c:v>Jan</c:v>
                </c:pt>
                <c:pt idx="1">
                  <c:v>Feb</c:v>
                </c:pt>
                <c:pt idx="2">
                  <c:v>Mar</c:v>
                </c:pt>
                <c:pt idx="3">
                  <c:v>Apr</c:v>
                </c:pt>
                <c:pt idx="4">
                  <c:v>May</c:v>
                </c:pt>
                <c:pt idx="5">
                  <c:v>Jun</c:v>
                </c:pt>
              </c:strCache>
            </c:strRef>
          </c:cat>
          <c:val>
            <c:numRef>
              <c:f>'Question 8'!$C$38:$C$44</c:f>
              <c:numCache>
                <c:formatCode>General</c:formatCode>
                <c:ptCount val="6"/>
                <c:pt idx="0">
                  <c:v>1281</c:v>
                </c:pt>
                <c:pt idx="1">
                  <c:v>1032</c:v>
                </c:pt>
                <c:pt idx="2">
                  <c:v>958</c:v>
                </c:pt>
                <c:pt idx="3">
                  <c:v>1155</c:v>
                </c:pt>
                <c:pt idx="4">
                  <c:v>1286</c:v>
                </c:pt>
                <c:pt idx="5">
                  <c:v>1117</c:v>
                </c:pt>
              </c:numCache>
            </c:numRef>
          </c:val>
          <c:smooth val="0"/>
        </c:ser>
        <c:dLbls>
          <c:showLegendKey val="0"/>
          <c:showVal val="0"/>
          <c:showCatName val="0"/>
          <c:showSerName val="0"/>
          <c:showPercent val="0"/>
          <c:showBubbleSize val="0"/>
        </c:dLbls>
        <c:marker val="1"/>
        <c:smooth val="0"/>
        <c:axId val="589649008"/>
        <c:axId val="589645872"/>
      </c:lineChart>
      <c:catAx>
        <c:axId val="589649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45872"/>
        <c:crosses val="autoZero"/>
        <c:auto val="1"/>
        <c:lblAlgn val="ctr"/>
        <c:lblOffset val="100"/>
        <c:noMultiLvlLbl val="0"/>
      </c:catAx>
      <c:valAx>
        <c:axId val="58964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9649008"/>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4</xdr:col>
      <xdr:colOff>0</xdr:colOff>
      <xdr:row>6</xdr:row>
      <xdr:rowOff>0</xdr:rowOff>
    </xdr:from>
    <xdr:to>
      <xdr:col>11</xdr:col>
      <xdr:colOff>304800</xdr:colOff>
      <xdr:row>21</xdr:row>
      <xdr:rowOff>0</xdr:rowOff>
    </xdr:to>
    <xdr:graphicFrame macro="">
      <xdr:nvGraphicFramePr>
        <xdr:cNvPr id="2" name="Chart 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487680</xdr:colOff>
      <xdr:row>4</xdr:row>
      <xdr:rowOff>0</xdr:rowOff>
    </xdr:from>
    <xdr:to>
      <xdr:col>8</xdr:col>
      <xdr:colOff>487680</xdr:colOff>
      <xdr:row>17</xdr:row>
      <xdr:rowOff>89535</xdr:rowOff>
    </xdr:to>
    <mc:AlternateContent xmlns:mc="http://schemas.openxmlformats.org/markup-compatibility/2006">
      <mc:Choice xmlns:a14="http://schemas.microsoft.com/office/drawing/2010/main" Requires="a14">
        <xdr:graphicFrame macro="">
          <xdr:nvGraphicFramePr>
            <xdr:cNvPr id="2" name="Product"/>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977640" y="7315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1</xdr:col>
      <xdr:colOff>754380</xdr:colOff>
      <xdr:row>5</xdr:row>
      <xdr:rowOff>144780</xdr:rowOff>
    </xdr:from>
    <xdr:to>
      <xdr:col>5</xdr:col>
      <xdr:colOff>525780</xdr:colOff>
      <xdr:row>16</xdr:row>
      <xdr:rowOff>99060</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220980</xdr:colOff>
      <xdr:row>5</xdr:row>
      <xdr:rowOff>83820</xdr:rowOff>
    </xdr:from>
    <xdr:to>
      <xdr:col>14</xdr:col>
      <xdr:colOff>548640</xdr:colOff>
      <xdr:row>16</xdr:row>
      <xdr:rowOff>7620</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160020</xdr:colOff>
      <xdr:row>8</xdr:row>
      <xdr:rowOff>22861</xdr:rowOff>
    </xdr:from>
    <xdr:to>
      <xdr:col>9</xdr:col>
      <xdr:colOff>160020</xdr:colOff>
      <xdr:row>15</xdr:row>
      <xdr:rowOff>30481</xdr:rowOff>
    </xdr:to>
    <mc:AlternateContent xmlns:mc="http://schemas.openxmlformats.org/markup-compatibility/2006">
      <mc:Choice xmlns:a14="http://schemas.microsoft.com/office/drawing/2010/main" Requires="a14">
        <xdr:graphicFrame macro="">
          <xdr:nvGraphicFramePr>
            <xdr:cNvPr id="4" name="Product 1"/>
            <xdr:cNvGraphicFramePr/>
          </xdr:nvGraphicFramePr>
          <xdr:xfrm>
            <a:off x="0" y="0"/>
            <a:ext cx="0" cy="0"/>
          </xdr:xfrm>
          <a:graphic>
            <a:graphicData uri="http://schemas.microsoft.com/office/drawing/2010/slicer">
              <sle:slicer xmlns:sle="http://schemas.microsoft.com/office/drawing/2010/slicer" name="Product 1"/>
            </a:graphicData>
          </a:graphic>
        </xdr:graphicFrame>
      </mc:Choice>
      <mc:Fallback>
        <xdr:sp macro="" textlink="">
          <xdr:nvSpPr>
            <xdr:cNvPr id="0" name=""/>
            <xdr:cNvSpPr>
              <a:spLocks noTextEdit="1"/>
            </xdr:cNvSpPr>
          </xdr:nvSpPr>
          <xdr:spPr>
            <a:xfrm>
              <a:off x="4701540" y="1485901"/>
              <a:ext cx="1828800" cy="128778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388620</xdr:colOff>
      <xdr:row>3</xdr:row>
      <xdr:rowOff>30480</xdr:rowOff>
    </xdr:from>
    <xdr:to>
      <xdr:col>18</xdr:col>
      <xdr:colOff>281940</xdr:colOff>
      <xdr:row>21</xdr:row>
      <xdr:rowOff>68580</xdr:rowOff>
    </xdr:to>
    <xdr:sp macro="" textlink="">
      <xdr:nvSpPr>
        <xdr:cNvPr id="5" name="Rectangle 4"/>
        <xdr:cNvSpPr/>
      </xdr:nvSpPr>
      <xdr:spPr>
        <a:xfrm>
          <a:off x="998220" y="579120"/>
          <a:ext cx="11140440" cy="3329940"/>
        </a:xfrm>
        <a:prstGeom prst="rect">
          <a:avLst/>
        </a:prstGeom>
        <a:no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rgbClr val="FF0000"/>
            </a:solidFill>
          </a:endParaRPr>
        </a:p>
      </xdr:txBody>
    </xdr:sp>
    <xdr:clientData/>
  </xdr:twoCellAnchor>
  <xdr:oneCellAnchor>
    <xdr:from>
      <xdr:col>5</xdr:col>
      <xdr:colOff>403860</xdr:colOff>
      <xdr:row>3</xdr:row>
      <xdr:rowOff>53340</xdr:rowOff>
    </xdr:from>
    <xdr:ext cx="2484120" cy="264560"/>
    <xdr:sp macro="" textlink="">
      <xdr:nvSpPr>
        <xdr:cNvPr id="6" name="TextBox 5"/>
        <xdr:cNvSpPr txBox="1"/>
      </xdr:nvSpPr>
      <xdr:spPr>
        <a:xfrm>
          <a:off x="4145280" y="601980"/>
          <a:ext cx="2484120" cy="264560"/>
        </a:xfrm>
        <a:prstGeom prst="rect">
          <a:avLst/>
        </a:prstGeom>
        <a:solidFill>
          <a:schemeClr val="accent3">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b="1"/>
            <a:t>Sales Performance Dashboard</a:t>
          </a:r>
          <a:endParaRPr lang="en-IN" sz="1100" b="1"/>
        </a:p>
      </xdr:txBody>
    </xdr:sp>
    <xdr:clientData/>
  </xdr:one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r:id="rId1" refreshedBy="LENOVO" refreshedDate="46040.54560740741" createdVersion="5" refreshedVersion="5" minRefreshableVersion="3" recordCount="20">
  <cacheSource type="worksheet">
    <worksheetSource ref="A1:E21" sheet="Dataset"/>
  </cacheSource>
  <cacheFields count="5">
    <cacheField name="Date" numFmtId="0">
      <sharedItems count="20">
        <s v="01-01-2024 00:00"/>
        <s v="10-01-2024 12:37"/>
        <s v="20-01-2024 01:15"/>
        <s v="29-01-2024 13:53"/>
        <s v="08-02-2024 02:31"/>
        <s v="17-02-2024 15:09"/>
        <s v="27-02-2024 03:47"/>
        <s v="07-03-2024 16:25"/>
        <s v="17-03-2024 05:03"/>
        <s v="26-03-2024 17:41"/>
        <s v="05-04-2024 06:18"/>
        <s v="14-04-2024 18:56"/>
        <s v="24-04-2024 07:34"/>
        <s v="03-05-2024 20:12"/>
        <s v="13-05-2024 08:50"/>
        <s v="22-05-2024 21:28"/>
        <s v="01-06-2024 10:06"/>
        <s v="10-06-2024 22:44"/>
        <s v="20-06-2024 11:22"/>
        <s v="30-06-2024 00:00"/>
      </sharedItems>
    </cacheField>
    <cacheField name="Region" numFmtId="0">
      <sharedItems count="4">
        <s v="West"/>
        <s v="South"/>
        <s v="East"/>
        <s v="North"/>
      </sharedItems>
    </cacheField>
    <cacheField name="Product" numFmtId="0">
      <sharedItems/>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LENOVO" refreshedDate="46040.609424074071" createdVersion="5" refreshedVersion="5" minRefreshableVersion="3" recordCount="20">
  <cacheSource type="worksheet">
    <worksheetSource ref="A1:F21" sheet="Dataset"/>
  </cacheSource>
  <cacheFields count="7">
    <cacheField name="Date" numFmtId="0">
      <sharedItems count="20">
        <s v="01-01-2024 00:00"/>
        <s v="10-01-2024 12:37"/>
        <s v="20-01-2024 01:15"/>
        <s v="29-01-2024 13:53"/>
        <s v="08-02-2024 02:31"/>
        <s v="17-02-2024 15:09"/>
        <s v="27-02-2024 03:47"/>
        <s v="07-03-2024 16:25"/>
        <s v="17-03-2024 05:03"/>
        <s v="26-03-2024 17:41"/>
        <s v="05-04-2024 06:18"/>
        <s v="14-04-2024 18:56"/>
        <s v="24-04-2024 07:34"/>
        <s v="03-05-2024 20:12"/>
        <s v="13-05-2024 08:50"/>
        <s v="22-05-2024 21:28"/>
        <s v="01-06-2024 10:06"/>
        <s v="10-06-2024 22:44"/>
        <s v="20-06-2024 11:22"/>
        <s v="30-06-2024 00:00"/>
      </sharedItems>
    </cacheField>
    <cacheField name="Region" numFmtId="0">
      <sharedItems count="4">
        <s v="West"/>
        <s v="South"/>
        <s v="East"/>
        <s v="North"/>
      </sharedItems>
    </cacheField>
    <cacheField name="Product" numFmtId="0">
      <sharedItems count="3">
        <s v="Mangoes"/>
        <s v="Oranges"/>
        <s v="Apples"/>
      </sharedItems>
      <fieldGroup par="6"/>
    </cacheField>
    <cacheField name="Sales" numFmtId="0">
      <sharedItems containsSemiMixedTypes="0" containsString="0" containsNumber="1" containsInteger="1" minValue="53" maxValue="497"/>
    </cacheField>
    <cacheField name="Quantity" numFmtId="0">
      <sharedItems containsSemiMixedTypes="0" containsString="0" containsNumber="1" containsInteger="1" minValue="23" maxValue="97"/>
    </cacheField>
    <cacheField name="Month" numFmtId="0">
      <sharedItems count="6">
        <s v="Jan"/>
        <s v="Feb"/>
        <s v="Mar"/>
        <s v="Apr"/>
        <s v="May"/>
        <s v="Jun"/>
      </sharedItems>
    </cacheField>
    <cacheField name="Product2" numFmtId="0" databaseField="0">
      <fieldGroup base="2">
        <discretePr count="3">
          <x v="0"/>
          <x v="1"/>
          <x v="1"/>
        </discretePr>
        <groupItems count="2">
          <s v="Mangoes"/>
          <s v="Group1"/>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20">
  <r>
    <x v="0"/>
    <x v="0"/>
    <s v="Mangoes"/>
    <n v="456"/>
    <n v="93"/>
  </r>
  <r>
    <x v="1"/>
    <x v="1"/>
    <s v="Oranges"/>
    <n v="348"/>
    <n v="56"/>
  </r>
  <r>
    <x v="2"/>
    <x v="1"/>
    <s v="Mangoes"/>
    <n v="247"/>
    <n v="76"/>
  </r>
  <r>
    <x v="3"/>
    <x v="0"/>
    <s v="Apples"/>
    <n v="230"/>
    <n v="37"/>
  </r>
  <r>
    <x v="4"/>
    <x v="0"/>
    <s v="Mangoes"/>
    <n v="281"/>
    <n v="50"/>
  </r>
  <r>
    <x v="5"/>
    <x v="0"/>
    <s v="Oranges"/>
    <n v="334"/>
    <n v="52"/>
  </r>
  <r>
    <x v="6"/>
    <x v="1"/>
    <s v="Apples"/>
    <n v="417"/>
    <n v="29"/>
  </r>
  <r>
    <x v="7"/>
    <x v="0"/>
    <s v="Apples"/>
    <n v="441"/>
    <n v="44"/>
  </r>
  <r>
    <x v="8"/>
    <x v="1"/>
    <s v="Mangoes"/>
    <n v="76"/>
    <n v="63"/>
  </r>
  <r>
    <x v="9"/>
    <x v="0"/>
    <s v="Oranges"/>
    <n v="441"/>
    <n v="79"/>
  </r>
  <r>
    <x v="10"/>
    <x v="1"/>
    <s v="Mangoes"/>
    <n v="205"/>
    <n v="23"/>
  </r>
  <r>
    <x v="11"/>
    <x v="0"/>
    <s v="Oranges"/>
    <n v="483"/>
    <n v="97"/>
  </r>
  <r>
    <x v="12"/>
    <x v="2"/>
    <s v="Mangoes"/>
    <n v="467"/>
    <n v="97"/>
  </r>
  <r>
    <x v="13"/>
    <x v="0"/>
    <s v="Mangoes"/>
    <n v="380"/>
    <n v="92"/>
  </r>
  <r>
    <x v="14"/>
    <x v="1"/>
    <s v="Oranges"/>
    <n v="497"/>
    <n v="71"/>
  </r>
  <r>
    <x v="15"/>
    <x v="1"/>
    <s v="Mangoes"/>
    <n v="409"/>
    <n v="81"/>
  </r>
  <r>
    <x v="16"/>
    <x v="0"/>
    <s v="Oranges"/>
    <n v="53"/>
    <n v="45"/>
  </r>
  <r>
    <x v="17"/>
    <x v="0"/>
    <s v="Apples"/>
    <n v="398"/>
    <n v="33"/>
  </r>
  <r>
    <x v="18"/>
    <x v="3"/>
    <s v="Oranges"/>
    <n v="347"/>
    <n v="35"/>
  </r>
  <r>
    <x v="19"/>
    <x v="1"/>
    <s v="Apples"/>
    <n v="319"/>
    <n v="45"/>
  </r>
</pivotCacheRecords>
</file>

<file path=xl/pivotCache/pivotCacheRecords2.xml><?xml version="1.0" encoding="utf-8"?>
<pivotCacheRecords xmlns="http://schemas.openxmlformats.org/spreadsheetml/2006/main" xmlns:r="http://schemas.openxmlformats.org/officeDocument/2006/relationships" count="20">
  <r>
    <x v="0"/>
    <x v="0"/>
    <x v="0"/>
    <n v="456"/>
    <n v="93"/>
    <x v="0"/>
  </r>
  <r>
    <x v="1"/>
    <x v="1"/>
    <x v="1"/>
    <n v="348"/>
    <n v="56"/>
    <x v="0"/>
  </r>
  <r>
    <x v="2"/>
    <x v="1"/>
    <x v="0"/>
    <n v="247"/>
    <n v="76"/>
    <x v="0"/>
  </r>
  <r>
    <x v="3"/>
    <x v="0"/>
    <x v="2"/>
    <n v="230"/>
    <n v="37"/>
    <x v="0"/>
  </r>
  <r>
    <x v="4"/>
    <x v="0"/>
    <x v="0"/>
    <n v="281"/>
    <n v="50"/>
    <x v="1"/>
  </r>
  <r>
    <x v="5"/>
    <x v="0"/>
    <x v="1"/>
    <n v="334"/>
    <n v="52"/>
    <x v="1"/>
  </r>
  <r>
    <x v="6"/>
    <x v="1"/>
    <x v="2"/>
    <n v="417"/>
    <n v="29"/>
    <x v="1"/>
  </r>
  <r>
    <x v="7"/>
    <x v="0"/>
    <x v="2"/>
    <n v="441"/>
    <n v="44"/>
    <x v="2"/>
  </r>
  <r>
    <x v="8"/>
    <x v="1"/>
    <x v="0"/>
    <n v="76"/>
    <n v="63"/>
    <x v="2"/>
  </r>
  <r>
    <x v="9"/>
    <x v="0"/>
    <x v="1"/>
    <n v="441"/>
    <n v="79"/>
    <x v="2"/>
  </r>
  <r>
    <x v="10"/>
    <x v="1"/>
    <x v="0"/>
    <n v="205"/>
    <n v="23"/>
    <x v="3"/>
  </r>
  <r>
    <x v="11"/>
    <x v="0"/>
    <x v="1"/>
    <n v="483"/>
    <n v="97"/>
    <x v="3"/>
  </r>
  <r>
    <x v="12"/>
    <x v="2"/>
    <x v="0"/>
    <n v="467"/>
    <n v="97"/>
    <x v="3"/>
  </r>
  <r>
    <x v="13"/>
    <x v="0"/>
    <x v="0"/>
    <n v="380"/>
    <n v="92"/>
    <x v="4"/>
  </r>
  <r>
    <x v="14"/>
    <x v="1"/>
    <x v="1"/>
    <n v="497"/>
    <n v="71"/>
    <x v="4"/>
  </r>
  <r>
    <x v="15"/>
    <x v="1"/>
    <x v="0"/>
    <n v="409"/>
    <n v="81"/>
    <x v="4"/>
  </r>
  <r>
    <x v="16"/>
    <x v="0"/>
    <x v="1"/>
    <n v="53"/>
    <n v="45"/>
    <x v="5"/>
  </r>
  <r>
    <x v="17"/>
    <x v="0"/>
    <x v="2"/>
    <n v="398"/>
    <n v="33"/>
    <x v="5"/>
  </r>
  <r>
    <x v="18"/>
    <x v="3"/>
    <x v="1"/>
    <n v="347"/>
    <n v="35"/>
    <x v="5"/>
  </r>
  <r>
    <x v="19"/>
    <x v="1"/>
    <x v="2"/>
    <n v="319"/>
    <n v="45"/>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C9" firstHeaderRow="1" firstDataRow="1" firstDataCol="1"/>
  <pivotFields count="5">
    <pivotField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12">
    <format dxfId="20">
      <pivotArea type="all" dataOnly="0" outline="0" fieldPosition="0"/>
    </format>
    <format dxfId="21">
      <pivotArea outline="0" collapsedLevelsAreSubtotals="1" fieldPosition="0"/>
    </format>
    <format dxfId="22">
      <pivotArea field="1" type="button" dataOnly="0" labelOnly="1" outline="0" axis="axisRow" fieldPosition="0"/>
    </format>
    <format dxfId="23">
      <pivotArea dataOnly="0" labelOnly="1" outline="0" axis="axisValues" fieldPosition="0"/>
    </format>
    <format dxfId="24">
      <pivotArea dataOnly="0" labelOnly="1" fieldPosition="0">
        <references count="1">
          <reference field="1" count="0"/>
        </references>
      </pivotArea>
    </format>
    <format dxfId="25">
      <pivotArea dataOnly="0" labelOnly="1" grandRow="1" outline="0" fieldPosition="0"/>
    </format>
    <format dxfId="26">
      <pivotArea type="all" dataOnly="0" outline="0" fieldPosition="0"/>
    </format>
    <format dxfId="27">
      <pivotArea outline="0" collapsedLevelsAreSubtotals="1" fieldPosition="0"/>
    </format>
    <format dxfId="28">
      <pivotArea field="1" type="button" dataOnly="0" labelOnly="1" outline="0" axis="axisRow" fieldPosition="0"/>
    </format>
    <format dxfId="29">
      <pivotArea dataOnly="0" labelOnly="1" outline="0" axis="axisValues" fieldPosition="0"/>
    </format>
    <format dxfId="30">
      <pivotArea dataOnly="0" labelOnly="1" fieldPosition="0">
        <references count="1">
          <reference field="1" count="0"/>
        </references>
      </pivotArea>
    </format>
    <format dxfId="3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 cacheId="25"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C9" firstHeaderRow="1" firstDataRow="1" firstDataCol="1"/>
  <pivotFields count="5">
    <pivotField showAll="0"/>
    <pivotField axis="axisRow" showAll="0">
      <items count="5">
        <item x="2"/>
        <item x="3"/>
        <item x="1"/>
        <item x="0"/>
        <item t="default"/>
      </items>
    </pivotField>
    <pivotField showAll="0"/>
    <pivotField dataField="1" showAll="0"/>
    <pivotField showAll="0"/>
  </pivotFields>
  <rowFields count="1">
    <field x="1"/>
  </rowFields>
  <rowItems count="5">
    <i>
      <x/>
    </i>
    <i>
      <x v="1"/>
    </i>
    <i>
      <x v="2"/>
    </i>
    <i>
      <x v="3"/>
    </i>
    <i t="grand">
      <x/>
    </i>
  </rowItems>
  <colItems count="1">
    <i/>
  </colItems>
  <dataFields count="1">
    <dataField name="Sum of Sales" fld="3" baseField="0" baseItem="0"/>
  </dataFields>
  <formats count="12">
    <format dxfId="8">
      <pivotArea type="all" dataOnly="0" outline="0" fieldPosition="0"/>
    </format>
    <format dxfId="9">
      <pivotArea outline="0" collapsedLevelsAreSubtotals="1" fieldPosition="0"/>
    </format>
    <format dxfId="10">
      <pivotArea field="1" type="button" dataOnly="0" labelOnly="1" outline="0" axis="axisRow" fieldPosition="0"/>
    </format>
    <format dxfId="11">
      <pivotArea dataOnly="0" labelOnly="1" outline="0" axis="axisValues" fieldPosition="0"/>
    </format>
    <format dxfId="12">
      <pivotArea dataOnly="0" labelOnly="1" fieldPosition="0">
        <references count="1">
          <reference field="1" count="0"/>
        </references>
      </pivotArea>
    </format>
    <format dxfId="13">
      <pivotArea dataOnly="0" labelOnly="1" grandRow="1" outline="0" fieldPosition="0"/>
    </format>
    <format dxfId="14">
      <pivotArea type="all" dataOnly="0" outline="0" fieldPosition="0"/>
    </format>
    <format dxfId="15">
      <pivotArea outline="0" collapsedLevelsAreSubtotals="1" fieldPosition="0"/>
    </format>
    <format dxfId="16">
      <pivotArea field="1" type="button" dataOnly="0" labelOnly="1" outline="0" axis="axisRow" fieldPosition="0"/>
    </format>
    <format dxfId="17">
      <pivotArea dataOnly="0" labelOnly="1" outline="0" axis="axisValues" fieldPosition="0"/>
    </format>
    <format dxfId="18">
      <pivotArea dataOnly="0" labelOnly="1" fieldPosition="0">
        <references count="1">
          <reference field="1" count="0"/>
        </references>
      </pivotArea>
    </format>
    <format dxfId="19">
      <pivotArea dataOnly="0" labelOnly="1" grandRow="1" outline="0" fieldPosition="0"/>
    </format>
  </formats>
  <conditionalFormats count="2">
    <conditionalFormat priority="2">
      <pivotAreas count="1">
        <pivotArea type="data" collapsedLevelsAreSubtotals="1" fieldPosition="0">
          <references count="2">
            <reference field="4294967294" count="1" selected="0">
              <x v="0"/>
            </reference>
            <reference field="1" count="4">
              <x v="0"/>
              <x v="1"/>
              <x v="2"/>
              <x v="3"/>
            </reference>
          </references>
        </pivotArea>
      </pivotAreas>
    </conditionalFormat>
    <conditionalFormat priority="1">
      <pivotAreas count="1">
        <pivotArea type="data" outline="0" collapsedLevelsAreSubtotals="1" fieldPosition="0">
          <references count="1">
            <reference field="4294967294" count="1" selected="0">
              <x v="0"/>
            </reference>
          </references>
        </pivotArea>
      </pivotAreas>
    </conditionalFormat>
  </conditional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5"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A6:B13" firstHeaderRow="1" firstDataRow="1" firstDataCol="1"/>
  <pivotFields count="7">
    <pivotField showAll="0"/>
    <pivotField showAll="0"/>
    <pivotField showAll="0">
      <items count="4">
        <item x="2"/>
        <item x="0"/>
        <item x="1"/>
        <item t="default"/>
      </items>
    </pivotField>
    <pivotField dataField="1" showAll="0"/>
    <pivotField showAll="0"/>
    <pivotField axis="axisRow" showAll="0">
      <items count="7">
        <item x="0"/>
        <item x="1"/>
        <item x="2"/>
        <item x="3"/>
        <item x="4"/>
        <item x="5"/>
        <item t="default"/>
      </items>
    </pivotField>
    <pivotField showAll="0" defaultSubtotal="0">
      <items count="2">
        <item x="1"/>
        <item x="0"/>
      </items>
    </pivotField>
  </pivotFields>
  <rowFields count="1">
    <field x="5"/>
  </rowFields>
  <rowItems count="7">
    <i>
      <x/>
    </i>
    <i>
      <x v="1"/>
    </i>
    <i>
      <x v="2"/>
    </i>
    <i>
      <x v="3"/>
    </i>
    <i>
      <x v="4"/>
    </i>
    <i>
      <x v="5"/>
    </i>
    <i t="grand">
      <x/>
    </i>
  </rowItems>
  <colItems count="1">
    <i/>
  </colItems>
  <dataFields count="1">
    <dataField name="Sum of Sales" fld="3"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7"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8">
  <location ref="B4:C7" firstHeaderRow="1" firstDataRow="1" firstDataCol="1"/>
  <pivotFields count="7">
    <pivotField showAll="0"/>
    <pivotField showAll="0"/>
    <pivotField axis="axisRow" showAll="0">
      <items count="4">
        <item x="2"/>
        <item h="1" x="0"/>
        <item h="1" x="1"/>
        <item t="default"/>
      </items>
    </pivotField>
    <pivotField dataField="1" showAll="0"/>
    <pivotField showAll="0"/>
    <pivotField showAll="0">
      <items count="7">
        <item x="0"/>
        <item x="1"/>
        <item x="2"/>
        <item x="3"/>
        <item x="4"/>
        <item x="5"/>
        <item t="default"/>
      </items>
    </pivotField>
    <pivotField axis="axisRow" showAll="0" defaultSubtotal="0">
      <items count="2">
        <item x="1"/>
        <item x="0"/>
      </items>
    </pivotField>
  </pivotFields>
  <rowFields count="2">
    <field x="6"/>
    <field x="2"/>
  </rowFields>
  <rowItems count="3">
    <i>
      <x/>
    </i>
    <i r="1">
      <x/>
    </i>
    <i t="grand">
      <x/>
    </i>
  </rowItems>
  <colItems count="1">
    <i/>
  </colItems>
  <dataFields count="1">
    <dataField name="Sum of Sales" fld="3" baseField="0" baseItem="0"/>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2">
  <location ref="E37:F41" firstHeaderRow="1" firstDataRow="1" firstDataCol="1"/>
  <pivotFields count="7">
    <pivotField showAll="0"/>
    <pivotField axis="axisRow" showAll="0">
      <items count="5">
        <item x="2"/>
        <item x="3"/>
        <item x="1"/>
        <item x="0"/>
        <item t="default"/>
      </items>
    </pivotField>
    <pivotField showAll="0">
      <items count="4">
        <item h="1" x="2"/>
        <item h="1" x="0"/>
        <item x="1"/>
        <item t="default"/>
      </items>
    </pivotField>
    <pivotField dataField="1" showAll="0"/>
    <pivotField showAll="0"/>
    <pivotField showAll="0">
      <items count="7">
        <item x="0"/>
        <item x="1"/>
        <item x="2"/>
        <item x="3"/>
        <item x="4"/>
        <item x="5"/>
        <item t="default"/>
      </items>
    </pivotField>
    <pivotField showAll="0" defaultSubtotal="0">
      <items count="2">
        <item x="1"/>
        <item h="1" x="0"/>
      </items>
    </pivotField>
  </pivotFields>
  <rowFields count="1">
    <field x="1"/>
  </rowFields>
  <rowItems count="4">
    <i>
      <x v="1"/>
    </i>
    <i>
      <x v="2"/>
    </i>
    <i>
      <x v="3"/>
    </i>
    <i t="grand">
      <x/>
    </i>
  </rowItems>
  <colItems count="1">
    <i/>
  </colItems>
  <dataFields count="1">
    <dataField name="Sum of Sales" fld="3" baseField="0" baseItem="0"/>
  </dataFields>
  <chartFormats count="1">
    <chartFormat chart="1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9"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3">
  <location ref="B37:C44" firstHeaderRow="1" firstDataRow="1" firstDataCol="1"/>
  <pivotFields count="7">
    <pivotField showAll="0"/>
    <pivotField showAll="0"/>
    <pivotField showAll="0">
      <items count="4">
        <item x="2"/>
        <item x="0"/>
        <item x="1"/>
        <item t="default"/>
      </items>
    </pivotField>
    <pivotField dataField="1" showAll="0"/>
    <pivotField showAll="0"/>
    <pivotField axis="axisRow" showAll="0">
      <items count="7">
        <item x="0"/>
        <item x="1"/>
        <item x="2"/>
        <item x="3"/>
        <item x="4"/>
        <item x="5"/>
        <item t="default"/>
      </items>
    </pivotField>
    <pivotField showAll="0" defaultSubtotal="0">
      <items count="2">
        <item x="1"/>
        <item x="0"/>
      </items>
    </pivotField>
  </pivotFields>
  <rowFields count="1">
    <field x="5"/>
  </rowFields>
  <rowItems count="7">
    <i>
      <x/>
    </i>
    <i>
      <x v="1"/>
    </i>
    <i>
      <x v="2"/>
    </i>
    <i>
      <x v="3"/>
    </i>
    <i>
      <x v="4"/>
    </i>
    <i>
      <x v="5"/>
    </i>
    <i t="grand">
      <x/>
    </i>
  </rowItems>
  <colItems count="1">
    <i/>
  </colItems>
  <dataFields count="1">
    <dataField name="Sum of Sales" fld="3"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12"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4:C11" firstHeaderRow="1" firstDataRow="1" firstDataCol="1"/>
  <pivotFields count="7">
    <pivotField showAll="0"/>
    <pivotField showAll="0"/>
    <pivotField showAll="0">
      <items count="4">
        <item x="2"/>
        <item x="0"/>
        <item x="1"/>
        <item t="default"/>
      </items>
    </pivotField>
    <pivotField dataField="1" showAll="0"/>
    <pivotField showAll="0"/>
    <pivotField axis="axisRow" showAll="0">
      <items count="7">
        <item x="0"/>
        <item x="1"/>
        <item x="2"/>
        <item x="3"/>
        <item x="4"/>
        <item x="5"/>
        <item t="default"/>
      </items>
    </pivotField>
    <pivotField showAll="0" defaultSubtotal="0">
      <items count="2">
        <item x="1"/>
        <item x="0"/>
      </items>
    </pivotField>
  </pivotFields>
  <rowFields count="1">
    <field x="5"/>
  </rowFields>
  <rowItems count="7">
    <i>
      <x/>
    </i>
    <i>
      <x v="1"/>
    </i>
    <i>
      <x v="2"/>
    </i>
    <i>
      <x v="3"/>
    </i>
    <i>
      <x v="4"/>
    </i>
    <i>
      <x v="5"/>
    </i>
    <i t="grand">
      <x/>
    </i>
  </rowItems>
  <colItems count="1">
    <i/>
  </colItems>
  <dataFields count="1">
    <dataField name="Average of Sales" fld="3" subtotal="average" baseField="0" baseItem="0"/>
  </dataFields>
  <formats count="6">
    <format dxfId="5">
      <pivotArea type="all" dataOnly="0" outline="0" fieldPosition="0"/>
    </format>
    <format dxfId="4">
      <pivotArea outline="0" collapsedLevelsAreSubtotals="1" fieldPosition="0"/>
    </format>
    <format dxfId="3">
      <pivotArea field="5" type="button" dataOnly="0" labelOnly="1" outline="0" axis="axisRow" fieldPosition="0"/>
    </format>
    <format dxfId="2">
      <pivotArea dataOnly="0" labelOnly="1" outline="0" axis="axisValues" fieldPosition="0"/>
    </format>
    <format dxfId="1">
      <pivotArea dataOnly="0" labelOnly="1" fieldPosition="0">
        <references count="1">
          <reference field="5" count="0"/>
        </references>
      </pivotArea>
    </format>
    <format dxfId="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13" cacheId="28"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location ref="B6:C9" firstHeaderRow="1" firstDataRow="1" firstDataCol="1"/>
  <pivotFields count="7">
    <pivotField showAll="0"/>
    <pivotField showAll="0"/>
    <pivotField axis="axisRow" showAll="0">
      <items count="4">
        <item x="2"/>
        <item x="0"/>
        <item x="1"/>
        <item t="default"/>
      </items>
    </pivotField>
    <pivotField dataField="1" showAll="0"/>
    <pivotField showAll="0"/>
    <pivotField showAll="0">
      <items count="7">
        <item x="0"/>
        <item x="1"/>
        <item x="2"/>
        <item x="3"/>
        <item x="4"/>
        <item x="5"/>
        <item t="default"/>
      </items>
    </pivotField>
    <pivotField name="Fruits" axis="axisRow" showAll="0" defaultSubtotal="0">
      <items count="2">
        <item sd="0" x="1"/>
        <item sd="0" x="0"/>
      </items>
    </pivotField>
  </pivotFields>
  <rowFields count="2">
    <field x="6"/>
    <field x="2"/>
  </rowFields>
  <rowItems count="3">
    <i>
      <x/>
    </i>
    <i>
      <x v="1"/>
    </i>
    <i t="grand">
      <x/>
    </i>
  </rowItems>
  <colItems count="1">
    <i/>
  </colItems>
  <dataFields count="1">
    <dataField name="Sum of Sales"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 sourceName="Product">
  <pivotTables>
    <pivotTable tabId="7" name="PivotTable7"/>
  </pivotTables>
  <data>
    <tabular pivotCacheId="1">
      <items count="3">
        <i x="2"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Product1" sourceName="Product">
  <pivotTables>
    <pivotTable tabId="9" name="PivotTable8"/>
  </pivotTables>
  <data>
    <tabular pivotCacheId="1">
      <items count="3">
        <i x="2"/>
        <i x="0"/>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 cache="Slicer_Product" caption="Product" rowHeight="234950"/>
</slicers>
</file>

<file path=xl/slicers/slicer2.xml><?xml version="1.0" encoding="utf-8"?>
<slicers xmlns="http://schemas.microsoft.com/office/spreadsheetml/2009/9/main" xmlns:mc="http://schemas.openxmlformats.org/markup-compatibility/2006" xmlns:x="http://schemas.openxmlformats.org/spreadsheetml/2006/main" mc:Ignorable="x">
  <slicer name="Product 1" cache="Slicer_Product1" caption="Product"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3.xml"/></Relationships>
</file>

<file path=xl/worksheets/_rels/sheet7.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9.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ivotTable" Target="../pivotTables/pivotTable6.xml"/><Relationship Id="rId1" Type="http://schemas.openxmlformats.org/officeDocument/2006/relationships/pivotTable" Target="../pivotTables/pivotTable5.xml"/><Relationship Id="rId4" Type="http://schemas.microsoft.com/office/2007/relationships/slicer" Target="../slicers/slicer2.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1"/>
  <sheetViews>
    <sheetView workbookViewId="0">
      <selection activeCell="C3" sqref="C3"/>
    </sheetView>
  </sheetViews>
  <sheetFormatPr defaultRowHeight="14.4" x14ac:dyDescent="0.3"/>
  <cols>
    <col min="10" max="10" width="12.5546875" bestFit="1" customWidth="1"/>
    <col min="11" max="11" width="11.6640625" bestFit="1" customWidth="1"/>
  </cols>
  <sheetData>
    <row r="1" spans="1:6" x14ac:dyDescent="0.3">
      <c r="A1" t="s">
        <v>0</v>
      </c>
      <c r="B1" t="s">
        <v>1</v>
      </c>
      <c r="C1" t="s">
        <v>2</v>
      </c>
      <c r="D1" t="s">
        <v>3</v>
      </c>
      <c r="E1" t="s">
        <v>4</v>
      </c>
      <c r="F1" t="s">
        <v>68</v>
      </c>
    </row>
    <row r="2" spans="1:6" x14ac:dyDescent="0.3">
      <c r="A2" t="s">
        <v>5</v>
      </c>
      <c r="B2" t="s">
        <v>6</v>
      </c>
      <c r="C2" t="s">
        <v>7</v>
      </c>
      <c r="D2">
        <v>456</v>
      </c>
      <c r="E2">
        <v>93</v>
      </c>
      <c r="F2" t="str">
        <f>TEXT(A2,"mmm")</f>
        <v>Jan</v>
      </c>
    </row>
    <row r="3" spans="1:6" x14ac:dyDescent="0.3">
      <c r="A3" t="s">
        <v>8</v>
      </c>
      <c r="B3" t="s">
        <v>9</v>
      </c>
      <c r="C3" t="s">
        <v>10</v>
      </c>
      <c r="D3">
        <v>348</v>
      </c>
      <c r="E3">
        <v>56</v>
      </c>
      <c r="F3" t="str">
        <f t="shared" ref="F3:F21" si="0">TEXT(A3,"mmm")</f>
        <v>Jan</v>
      </c>
    </row>
    <row r="4" spans="1:6" x14ac:dyDescent="0.3">
      <c r="A4" t="s">
        <v>11</v>
      </c>
      <c r="B4" t="s">
        <v>9</v>
      </c>
      <c r="C4" t="s">
        <v>7</v>
      </c>
      <c r="D4">
        <v>247</v>
      </c>
      <c r="E4">
        <v>76</v>
      </c>
      <c r="F4" t="str">
        <f t="shared" si="0"/>
        <v>Jan</v>
      </c>
    </row>
    <row r="5" spans="1:6" x14ac:dyDescent="0.3">
      <c r="A5" t="s">
        <v>12</v>
      </c>
      <c r="B5" t="s">
        <v>6</v>
      </c>
      <c r="C5" t="s">
        <v>13</v>
      </c>
      <c r="D5">
        <v>230</v>
      </c>
      <c r="E5">
        <v>37</v>
      </c>
      <c r="F5" t="str">
        <f t="shared" si="0"/>
        <v>Jan</v>
      </c>
    </row>
    <row r="6" spans="1:6" x14ac:dyDescent="0.3">
      <c r="A6" t="s">
        <v>14</v>
      </c>
      <c r="B6" t="s">
        <v>6</v>
      </c>
      <c r="C6" t="s">
        <v>7</v>
      </c>
      <c r="D6">
        <v>281</v>
      </c>
      <c r="E6">
        <v>50</v>
      </c>
      <c r="F6" t="str">
        <f t="shared" si="0"/>
        <v>Feb</v>
      </c>
    </row>
    <row r="7" spans="1:6" x14ac:dyDescent="0.3">
      <c r="A7" t="s">
        <v>15</v>
      </c>
      <c r="B7" t="s">
        <v>6</v>
      </c>
      <c r="C7" t="s">
        <v>10</v>
      </c>
      <c r="D7">
        <v>334</v>
      </c>
      <c r="E7">
        <v>52</v>
      </c>
      <c r="F7" t="str">
        <f t="shared" si="0"/>
        <v>Feb</v>
      </c>
    </row>
    <row r="8" spans="1:6" x14ac:dyDescent="0.3">
      <c r="A8" t="s">
        <v>16</v>
      </c>
      <c r="B8" t="s">
        <v>9</v>
      </c>
      <c r="C8" t="s">
        <v>13</v>
      </c>
      <c r="D8">
        <v>417</v>
      </c>
      <c r="E8">
        <v>29</v>
      </c>
      <c r="F8" t="str">
        <f t="shared" si="0"/>
        <v>Feb</v>
      </c>
    </row>
    <row r="9" spans="1:6" x14ac:dyDescent="0.3">
      <c r="A9" t="s">
        <v>17</v>
      </c>
      <c r="B9" t="s">
        <v>6</v>
      </c>
      <c r="C9" t="s">
        <v>13</v>
      </c>
      <c r="D9">
        <v>441</v>
      </c>
      <c r="E9">
        <v>44</v>
      </c>
      <c r="F9" t="str">
        <f t="shared" si="0"/>
        <v>Mar</v>
      </c>
    </row>
    <row r="10" spans="1:6" x14ac:dyDescent="0.3">
      <c r="A10" t="s">
        <v>18</v>
      </c>
      <c r="B10" t="s">
        <v>9</v>
      </c>
      <c r="C10" t="s">
        <v>7</v>
      </c>
      <c r="D10">
        <v>76</v>
      </c>
      <c r="E10">
        <v>63</v>
      </c>
      <c r="F10" t="str">
        <f t="shared" si="0"/>
        <v>Mar</v>
      </c>
    </row>
    <row r="11" spans="1:6" x14ac:dyDescent="0.3">
      <c r="A11" t="s">
        <v>19</v>
      </c>
      <c r="B11" t="s">
        <v>6</v>
      </c>
      <c r="C11" t="s">
        <v>10</v>
      </c>
      <c r="D11">
        <v>441</v>
      </c>
      <c r="E11">
        <v>79</v>
      </c>
      <c r="F11" t="str">
        <f t="shared" si="0"/>
        <v>Mar</v>
      </c>
    </row>
    <row r="12" spans="1:6" x14ac:dyDescent="0.3">
      <c r="A12" t="s">
        <v>20</v>
      </c>
      <c r="B12" t="s">
        <v>9</v>
      </c>
      <c r="C12" t="s">
        <v>7</v>
      </c>
      <c r="D12">
        <v>205</v>
      </c>
      <c r="E12">
        <v>23</v>
      </c>
      <c r="F12" t="str">
        <f t="shared" si="0"/>
        <v>Apr</v>
      </c>
    </row>
    <row r="13" spans="1:6" x14ac:dyDescent="0.3">
      <c r="A13" t="s">
        <v>21</v>
      </c>
      <c r="B13" t="s">
        <v>6</v>
      </c>
      <c r="C13" t="s">
        <v>10</v>
      </c>
      <c r="D13">
        <v>483</v>
      </c>
      <c r="E13">
        <v>97</v>
      </c>
      <c r="F13" t="str">
        <f t="shared" si="0"/>
        <v>Apr</v>
      </c>
    </row>
    <row r="14" spans="1:6" x14ac:dyDescent="0.3">
      <c r="A14" t="s">
        <v>22</v>
      </c>
      <c r="B14" t="s">
        <v>23</v>
      </c>
      <c r="C14" t="s">
        <v>7</v>
      </c>
      <c r="D14">
        <v>467</v>
      </c>
      <c r="E14">
        <v>97</v>
      </c>
      <c r="F14" t="str">
        <f t="shared" si="0"/>
        <v>Apr</v>
      </c>
    </row>
    <row r="15" spans="1:6" x14ac:dyDescent="0.3">
      <c r="A15" t="s">
        <v>24</v>
      </c>
      <c r="B15" t="s">
        <v>6</v>
      </c>
      <c r="C15" t="s">
        <v>7</v>
      </c>
      <c r="D15">
        <v>380</v>
      </c>
      <c r="E15">
        <v>92</v>
      </c>
      <c r="F15" t="str">
        <f t="shared" si="0"/>
        <v>May</v>
      </c>
    </row>
    <row r="16" spans="1:6" x14ac:dyDescent="0.3">
      <c r="A16" t="s">
        <v>25</v>
      </c>
      <c r="B16" t="s">
        <v>9</v>
      </c>
      <c r="C16" t="s">
        <v>10</v>
      </c>
      <c r="D16">
        <v>497</v>
      </c>
      <c r="E16">
        <v>71</v>
      </c>
      <c r="F16" t="str">
        <f t="shared" si="0"/>
        <v>May</v>
      </c>
    </row>
    <row r="17" spans="1:6" x14ac:dyDescent="0.3">
      <c r="A17" t="s">
        <v>26</v>
      </c>
      <c r="B17" t="s">
        <v>9</v>
      </c>
      <c r="C17" t="s">
        <v>7</v>
      </c>
      <c r="D17">
        <v>409</v>
      </c>
      <c r="E17">
        <v>81</v>
      </c>
      <c r="F17" t="str">
        <f t="shared" si="0"/>
        <v>May</v>
      </c>
    </row>
    <row r="18" spans="1:6" x14ac:dyDescent="0.3">
      <c r="A18" t="s">
        <v>27</v>
      </c>
      <c r="B18" t="s">
        <v>6</v>
      </c>
      <c r="C18" t="s">
        <v>10</v>
      </c>
      <c r="D18">
        <v>53</v>
      </c>
      <c r="E18">
        <v>45</v>
      </c>
      <c r="F18" t="str">
        <f t="shared" si="0"/>
        <v>Jun</v>
      </c>
    </row>
    <row r="19" spans="1:6" x14ac:dyDescent="0.3">
      <c r="A19" t="s">
        <v>28</v>
      </c>
      <c r="B19" t="s">
        <v>6</v>
      </c>
      <c r="C19" t="s">
        <v>13</v>
      </c>
      <c r="D19">
        <v>398</v>
      </c>
      <c r="E19">
        <v>33</v>
      </c>
      <c r="F19" t="str">
        <f t="shared" si="0"/>
        <v>Jun</v>
      </c>
    </row>
    <row r="20" spans="1:6" x14ac:dyDescent="0.3">
      <c r="A20" t="s">
        <v>29</v>
      </c>
      <c r="B20" t="s">
        <v>30</v>
      </c>
      <c r="C20" t="s">
        <v>10</v>
      </c>
      <c r="D20">
        <v>347</v>
      </c>
      <c r="E20">
        <v>35</v>
      </c>
      <c r="F20" t="str">
        <f t="shared" si="0"/>
        <v>Jun</v>
      </c>
    </row>
    <row r="21" spans="1:6" x14ac:dyDescent="0.3">
      <c r="A21" t="s">
        <v>31</v>
      </c>
      <c r="B21" t="s">
        <v>9</v>
      </c>
      <c r="C21" t="s">
        <v>13</v>
      </c>
      <c r="D21">
        <v>319</v>
      </c>
      <c r="E21">
        <v>45</v>
      </c>
      <c r="F21" t="str">
        <f t="shared" si="0"/>
        <v>Jun</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tabSelected="1" workbookViewId="0">
      <selection activeCell="F17" sqref="F17"/>
    </sheetView>
  </sheetViews>
  <sheetFormatPr defaultRowHeight="14.4" x14ac:dyDescent="0.3"/>
  <sheetData>
    <row r="1" spans="1:2" x14ac:dyDescent="0.3">
      <c r="A1" t="s">
        <v>32</v>
      </c>
    </row>
    <row r="2" spans="1:2" s="1" customFormat="1" x14ac:dyDescent="0.3">
      <c r="A2" s="1" t="s">
        <v>33</v>
      </c>
    </row>
    <row r="4" spans="1:2" s="2" customFormat="1" x14ac:dyDescent="0.3">
      <c r="A4" s="2" t="s">
        <v>34</v>
      </c>
      <c r="B4" s="2" t="s">
        <v>53</v>
      </c>
    </row>
    <row r="5" spans="1:2" s="2" customFormat="1" x14ac:dyDescent="0.3">
      <c r="B5" s="2" t="s">
        <v>54</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C4" sqref="C4"/>
    </sheetView>
  </sheetViews>
  <sheetFormatPr defaultRowHeight="14.4" x14ac:dyDescent="0.3"/>
  <cols>
    <col min="3" max="3" width="11.6640625" bestFit="1" customWidth="1"/>
  </cols>
  <sheetData>
    <row r="1" spans="1:3" x14ac:dyDescent="0.3">
      <c r="A1" t="s">
        <v>35</v>
      </c>
    </row>
    <row r="2" spans="1:3" x14ac:dyDescent="0.3">
      <c r="A2" t="s">
        <v>36</v>
      </c>
    </row>
    <row r="4" spans="1:3" x14ac:dyDescent="0.3">
      <c r="A4" t="s">
        <v>34</v>
      </c>
      <c r="B4" s="3" t="s">
        <v>55</v>
      </c>
      <c r="C4" s="3" t="s">
        <v>57</v>
      </c>
    </row>
    <row r="5" spans="1:3" x14ac:dyDescent="0.3">
      <c r="B5" s="4" t="s">
        <v>23</v>
      </c>
      <c r="C5" s="5">
        <v>467</v>
      </c>
    </row>
    <row r="6" spans="1:3" x14ac:dyDescent="0.3">
      <c r="B6" s="4" t="s">
        <v>30</v>
      </c>
      <c r="C6" s="5">
        <v>347</v>
      </c>
    </row>
    <row r="7" spans="1:3" x14ac:dyDescent="0.3">
      <c r="B7" s="4" t="s">
        <v>9</v>
      </c>
      <c r="C7" s="5">
        <v>2518</v>
      </c>
    </row>
    <row r="8" spans="1:3" x14ac:dyDescent="0.3">
      <c r="B8" s="4" t="s">
        <v>6</v>
      </c>
      <c r="C8" s="5">
        <v>3497</v>
      </c>
    </row>
    <row r="9" spans="1:3" x14ac:dyDescent="0.3">
      <c r="B9" s="4" t="s">
        <v>56</v>
      </c>
      <c r="C9" s="5">
        <v>6829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G15" sqref="G15"/>
    </sheetView>
  </sheetViews>
  <sheetFormatPr defaultRowHeight="14.4" x14ac:dyDescent="0.3"/>
  <sheetData>
    <row r="1" spans="1:3" x14ac:dyDescent="0.3">
      <c r="A1" t="s">
        <v>37</v>
      </c>
    </row>
    <row r="2" spans="1:3" x14ac:dyDescent="0.3">
      <c r="A2" t="s">
        <v>38</v>
      </c>
    </row>
    <row r="4" spans="1:3" x14ac:dyDescent="0.3">
      <c r="A4" t="s">
        <v>34</v>
      </c>
      <c r="B4" s="6" t="s">
        <v>55</v>
      </c>
      <c r="C4" s="3" t="s">
        <v>57</v>
      </c>
    </row>
    <row r="5" spans="1:3" x14ac:dyDescent="0.3">
      <c r="B5" s="4" t="s">
        <v>23</v>
      </c>
      <c r="C5" s="5">
        <v>467</v>
      </c>
    </row>
    <row r="6" spans="1:3" x14ac:dyDescent="0.3">
      <c r="B6" s="4" t="s">
        <v>30</v>
      </c>
      <c r="C6" s="5">
        <v>347</v>
      </c>
    </row>
    <row r="7" spans="1:3" x14ac:dyDescent="0.3">
      <c r="B7" s="4" t="s">
        <v>9</v>
      </c>
      <c r="C7" s="5">
        <v>2518</v>
      </c>
    </row>
    <row r="8" spans="1:3" x14ac:dyDescent="0.3">
      <c r="B8" s="4" t="s">
        <v>6</v>
      </c>
      <c r="C8" s="5">
        <v>3497</v>
      </c>
    </row>
    <row r="9" spans="1:3" x14ac:dyDescent="0.3">
      <c r="B9" s="4" t="s">
        <v>56</v>
      </c>
      <c r="C9" s="5">
        <v>6829</v>
      </c>
    </row>
  </sheetData>
  <conditionalFormatting pivot="1" sqref="C5:C8">
    <cfRule type="cellIs" dxfId="7" priority="2" operator="greaterThan">
      <formula>400</formula>
    </cfRule>
  </conditionalFormatting>
  <conditionalFormatting pivot="1" sqref="C5:C9">
    <cfRule type="cellIs" dxfId="6" priority="1" operator="greaterThan">
      <formula>3588</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R55"/>
  <sheetViews>
    <sheetView workbookViewId="0">
      <selection activeCell="H13" sqref="H13"/>
    </sheetView>
  </sheetViews>
  <sheetFormatPr defaultRowHeight="14.4" x14ac:dyDescent="0.3"/>
  <sheetData>
    <row r="1" spans="1:18" x14ac:dyDescent="0.3">
      <c r="A1" t="s">
        <v>39</v>
      </c>
    </row>
    <row r="2" spans="1:18" x14ac:dyDescent="0.3">
      <c r="A2" t="s">
        <v>40</v>
      </c>
    </row>
    <row r="4" spans="1:18" s="2" customFormat="1" x14ac:dyDescent="0.3">
      <c r="A4" s="2" t="s">
        <v>34</v>
      </c>
      <c r="B4" s="2" t="s">
        <v>58</v>
      </c>
    </row>
    <row r="5" spans="1:18" s="2" customFormat="1" x14ac:dyDescent="0.3">
      <c r="B5" s="2" t="s">
        <v>59</v>
      </c>
    </row>
    <row r="6" spans="1:18" s="2" customFormat="1" x14ac:dyDescent="0.3">
      <c r="B6" s="2" t="s">
        <v>60</v>
      </c>
    </row>
    <row r="7" spans="1:18" s="2" customFormat="1" x14ac:dyDescent="0.3">
      <c r="A7" s="2" t="s">
        <v>61</v>
      </c>
      <c r="B7" s="2" t="s">
        <v>62</v>
      </c>
    </row>
    <row r="8" spans="1:18" x14ac:dyDescent="0.3">
      <c r="A8" t="s">
        <v>0</v>
      </c>
      <c r="B8" t="s">
        <v>1</v>
      </c>
      <c r="C8" t="s">
        <v>2</v>
      </c>
      <c r="D8" t="s">
        <v>3</v>
      </c>
      <c r="E8" t="s">
        <v>4</v>
      </c>
    </row>
    <row r="9" spans="1:18" x14ac:dyDescent="0.3">
      <c r="A9" t="s">
        <v>27</v>
      </c>
      <c r="B9" t="s">
        <v>6</v>
      </c>
      <c r="C9" t="s">
        <v>10</v>
      </c>
      <c r="D9">
        <v>53</v>
      </c>
      <c r="E9">
        <v>45</v>
      </c>
    </row>
    <row r="10" spans="1:18" x14ac:dyDescent="0.3">
      <c r="A10" t="s">
        <v>18</v>
      </c>
      <c r="B10" t="s">
        <v>9</v>
      </c>
      <c r="C10" t="s">
        <v>7</v>
      </c>
      <c r="D10">
        <v>76</v>
      </c>
      <c r="E10">
        <v>63</v>
      </c>
    </row>
    <row r="11" spans="1:18" x14ac:dyDescent="0.3">
      <c r="A11" t="s">
        <v>20</v>
      </c>
      <c r="B11" t="s">
        <v>9</v>
      </c>
      <c r="C11" t="s">
        <v>7</v>
      </c>
      <c r="D11">
        <v>205</v>
      </c>
      <c r="E11">
        <v>23</v>
      </c>
    </row>
    <row r="12" spans="1:18" x14ac:dyDescent="0.3">
      <c r="A12" t="s">
        <v>12</v>
      </c>
      <c r="B12" t="s">
        <v>6</v>
      </c>
      <c r="C12" t="s">
        <v>13</v>
      </c>
      <c r="D12">
        <v>230</v>
      </c>
      <c r="E12">
        <v>37</v>
      </c>
    </row>
    <row r="13" spans="1:18" x14ac:dyDescent="0.3">
      <c r="A13" t="s">
        <v>11</v>
      </c>
      <c r="B13" t="s">
        <v>9</v>
      </c>
      <c r="C13" t="s">
        <v>7</v>
      </c>
      <c r="D13">
        <v>247</v>
      </c>
      <c r="E13">
        <v>76</v>
      </c>
      <c r="H13" s="7" t="s">
        <v>78</v>
      </c>
      <c r="I13" s="7"/>
      <c r="J13" s="7"/>
      <c r="K13" s="7"/>
      <c r="L13" s="7"/>
      <c r="M13" s="7"/>
      <c r="N13" s="7"/>
      <c r="O13" s="7"/>
      <c r="P13" s="7"/>
      <c r="Q13" s="7"/>
      <c r="R13" s="7"/>
    </row>
    <row r="14" spans="1:18" x14ac:dyDescent="0.3">
      <c r="A14" t="s">
        <v>14</v>
      </c>
      <c r="B14" t="s">
        <v>6</v>
      </c>
      <c r="C14" t="s">
        <v>7</v>
      </c>
      <c r="D14">
        <v>281</v>
      </c>
      <c r="E14">
        <v>50</v>
      </c>
    </row>
    <row r="15" spans="1:18" x14ac:dyDescent="0.3">
      <c r="A15" t="s">
        <v>31</v>
      </c>
      <c r="B15" t="s">
        <v>9</v>
      </c>
      <c r="C15" t="s">
        <v>13</v>
      </c>
      <c r="D15">
        <v>319</v>
      </c>
      <c r="E15">
        <v>45</v>
      </c>
    </row>
    <row r="16" spans="1:18" x14ac:dyDescent="0.3">
      <c r="A16" t="s">
        <v>15</v>
      </c>
      <c r="B16" t="s">
        <v>6</v>
      </c>
      <c r="C16" t="s">
        <v>10</v>
      </c>
      <c r="D16">
        <v>334</v>
      </c>
      <c r="E16">
        <v>52</v>
      </c>
    </row>
    <row r="17" spans="1:5" x14ac:dyDescent="0.3">
      <c r="A17" t="s">
        <v>29</v>
      </c>
      <c r="B17" t="s">
        <v>30</v>
      </c>
      <c r="C17" t="s">
        <v>10</v>
      </c>
      <c r="D17">
        <v>347</v>
      </c>
      <c r="E17">
        <v>35</v>
      </c>
    </row>
    <row r="18" spans="1:5" x14ac:dyDescent="0.3">
      <c r="A18" t="s">
        <v>8</v>
      </c>
      <c r="B18" t="s">
        <v>9</v>
      </c>
      <c r="C18" t="s">
        <v>10</v>
      </c>
      <c r="D18">
        <v>348</v>
      </c>
      <c r="E18">
        <v>56</v>
      </c>
    </row>
    <row r="19" spans="1:5" x14ac:dyDescent="0.3">
      <c r="A19" t="s">
        <v>24</v>
      </c>
      <c r="B19" t="s">
        <v>6</v>
      </c>
      <c r="C19" t="s">
        <v>7</v>
      </c>
      <c r="D19">
        <v>380</v>
      </c>
      <c r="E19">
        <v>92</v>
      </c>
    </row>
    <row r="20" spans="1:5" x14ac:dyDescent="0.3">
      <c r="A20" t="s">
        <v>28</v>
      </c>
      <c r="B20" t="s">
        <v>6</v>
      </c>
      <c r="C20" t="s">
        <v>13</v>
      </c>
      <c r="D20">
        <v>398</v>
      </c>
      <c r="E20">
        <v>33</v>
      </c>
    </row>
    <row r="21" spans="1:5" x14ac:dyDescent="0.3">
      <c r="A21" t="s">
        <v>26</v>
      </c>
      <c r="B21" t="s">
        <v>9</v>
      </c>
      <c r="C21" t="s">
        <v>7</v>
      </c>
      <c r="D21">
        <v>409</v>
      </c>
      <c r="E21">
        <v>81</v>
      </c>
    </row>
    <row r="22" spans="1:5" x14ac:dyDescent="0.3">
      <c r="A22" t="s">
        <v>16</v>
      </c>
      <c r="B22" t="s">
        <v>9</v>
      </c>
      <c r="C22" t="s">
        <v>13</v>
      </c>
      <c r="D22">
        <v>417</v>
      </c>
      <c r="E22">
        <v>29</v>
      </c>
    </row>
    <row r="23" spans="1:5" x14ac:dyDescent="0.3">
      <c r="A23" t="s">
        <v>17</v>
      </c>
      <c r="B23" t="s">
        <v>6</v>
      </c>
      <c r="C23" t="s">
        <v>13</v>
      </c>
      <c r="D23">
        <v>441</v>
      </c>
      <c r="E23">
        <v>44</v>
      </c>
    </row>
    <row r="24" spans="1:5" x14ac:dyDescent="0.3">
      <c r="A24" t="s">
        <v>19</v>
      </c>
      <c r="B24" t="s">
        <v>6</v>
      </c>
      <c r="C24" t="s">
        <v>10</v>
      </c>
      <c r="D24">
        <v>441</v>
      </c>
      <c r="E24">
        <v>79</v>
      </c>
    </row>
    <row r="25" spans="1:5" x14ac:dyDescent="0.3">
      <c r="A25" t="s">
        <v>5</v>
      </c>
      <c r="B25" t="s">
        <v>6</v>
      </c>
      <c r="C25" t="s">
        <v>7</v>
      </c>
      <c r="D25">
        <v>456</v>
      </c>
      <c r="E25">
        <v>93</v>
      </c>
    </row>
    <row r="26" spans="1:5" x14ac:dyDescent="0.3">
      <c r="A26" t="s">
        <v>22</v>
      </c>
      <c r="B26" t="s">
        <v>23</v>
      </c>
      <c r="C26" t="s">
        <v>7</v>
      </c>
      <c r="D26">
        <v>467</v>
      </c>
      <c r="E26">
        <v>97</v>
      </c>
    </row>
    <row r="27" spans="1:5" x14ac:dyDescent="0.3">
      <c r="A27" t="s">
        <v>21</v>
      </c>
      <c r="B27" t="s">
        <v>6</v>
      </c>
      <c r="C27" t="s">
        <v>10</v>
      </c>
      <c r="D27">
        <v>483</v>
      </c>
      <c r="E27">
        <v>97</v>
      </c>
    </row>
    <row r="28" spans="1:5" x14ac:dyDescent="0.3">
      <c r="A28" t="s">
        <v>25</v>
      </c>
      <c r="B28" t="s">
        <v>9</v>
      </c>
      <c r="C28" t="s">
        <v>10</v>
      </c>
      <c r="D28">
        <v>497</v>
      </c>
      <c r="E28">
        <v>71</v>
      </c>
    </row>
    <row r="30" spans="1:5" s="2" customFormat="1" x14ac:dyDescent="0.3">
      <c r="A30" s="8" t="s">
        <v>66</v>
      </c>
    </row>
    <row r="31" spans="1:5" s="2" customFormat="1" x14ac:dyDescent="0.3">
      <c r="A31" s="8" t="s">
        <v>63</v>
      </c>
    </row>
    <row r="32" spans="1:5" s="2" customFormat="1" x14ac:dyDescent="0.3">
      <c r="A32" s="2" t="s">
        <v>65</v>
      </c>
    </row>
    <row r="33" spans="1:5" s="2" customFormat="1" x14ac:dyDescent="0.3">
      <c r="A33" s="2" t="s">
        <v>64</v>
      </c>
    </row>
    <row r="35" spans="1:5" x14ac:dyDescent="0.3">
      <c r="A35" t="s">
        <v>0</v>
      </c>
      <c r="B35" t="s">
        <v>1</v>
      </c>
      <c r="C35" t="s">
        <v>2</v>
      </c>
      <c r="D35" t="s">
        <v>3</v>
      </c>
      <c r="E35" t="s">
        <v>4</v>
      </c>
    </row>
    <row r="36" spans="1:5" hidden="1" x14ac:dyDescent="0.3">
      <c r="A36" t="s">
        <v>27</v>
      </c>
      <c r="B36" t="s">
        <v>6</v>
      </c>
      <c r="C36" t="s">
        <v>10</v>
      </c>
      <c r="D36">
        <v>53</v>
      </c>
      <c r="E36">
        <v>45</v>
      </c>
    </row>
    <row r="37" spans="1:5" hidden="1" x14ac:dyDescent="0.3">
      <c r="A37" t="s">
        <v>18</v>
      </c>
      <c r="B37" t="s">
        <v>9</v>
      </c>
      <c r="C37" t="s">
        <v>7</v>
      </c>
      <c r="D37">
        <v>76</v>
      </c>
      <c r="E37">
        <v>63</v>
      </c>
    </row>
    <row r="38" spans="1:5" hidden="1" x14ac:dyDescent="0.3">
      <c r="A38" t="s">
        <v>20</v>
      </c>
      <c r="B38" t="s">
        <v>9</v>
      </c>
      <c r="C38" t="s">
        <v>7</v>
      </c>
      <c r="D38">
        <v>205</v>
      </c>
      <c r="E38">
        <v>23</v>
      </c>
    </row>
    <row r="39" spans="1:5" hidden="1" x14ac:dyDescent="0.3">
      <c r="A39" t="s">
        <v>12</v>
      </c>
      <c r="B39" t="s">
        <v>6</v>
      </c>
      <c r="C39" t="s">
        <v>13</v>
      </c>
      <c r="D39">
        <v>230</v>
      </c>
      <c r="E39">
        <v>37</v>
      </c>
    </row>
    <row r="40" spans="1:5" hidden="1" x14ac:dyDescent="0.3">
      <c r="A40" t="s">
        <v>11</v>
      </c>
      <c r="B40" t="s">
        <v>9</v>
      </c>
      <c r="C40" t="s">
        <v>7</v>
      </c>
      <c r="D40">
        <v>247</v>
      </c>
      <c r="E40">
        <v>76</v>
      </c>
    </row>
    <row r="41" spans="1:5" hidden="1" x14ac:dyDescent="0.3">
      <c r="A41" t="s">
        <v>14</v>
      </c>
      <c r="B41" t="s">
        <v>6</v>
      </c>
      <c r="C41" t="s">
        <v>7</v>
      </c>
      <c r="D41">
        <v>281</v>
      </c>
      <c r="E41">
        <v>50</v>
      </c>
    </row>
    <row r="42" spans="1:5" hidden="1" x14ac:dyDescent="0.3">
      <c r="A42" t="s">
        <v>31</v>
      </c>
      <c r="B42" t="s">
        <v>9</v>
      </c>
      <c r="C42" t="s">
        <v>13</v>
      </c>
      <c r="D42">
        <v>319</v>
      </c>
      <c r="E42">
        <v>45</v>
      </c>
    </row>
    <row r="43" spans="1:5" hidden="1" x14ac:dyDescent="0.3">
      <c r="A43" t="s">
        <v>15</v>
      </c>
      <c r="B43" t="s">
        <v>6</v>
      </c>
      <c r="C43" t="s">
        <v>10</v>
      </c>
      <c r="D43">
        <v>334</v>
      </c>
      <c r="E43">
        <v>52</v>
      </c>
    </row>
    <row r="44" spans="1:5" x14ac:dyDescent="0.3">
      <c r="A44" t="s">
        <v>29</v>
      </c>
      <c r="B44" t="s">
        <v>30</v>
      </c>
      <c r="C44" t="s">
        <v>10</v>
      </c>
      <c r="D44">
        <v>347</v>
      </c>
      <c r="E44">
        <v>35</v>
      </c>
    </row>
    <row r="45" spans="1:5" hidden="1" x14ac:dyDescent="0.3">
      <c r="A45" t="s">
        <v>8</v>
      </c>
      <c r="B45" t="s">
        <v>9</v>
      </c>
      <c r="C45" t="s">
        <v>10</v>
      </c>
      <c r="D45">
        <v>348</v>
      </c>
      <c r="E45">
        <v>56</v>
      </c>
    </row>
    <row r="46" spans="1:5" hidden="1" x14ac:dyDescent="0.3">
      <c r="A46" t="s">
        <v>24</v>
      </c>
      <c r="B46" t="s">
        <v>6</v>
      </c>
      <c r="C46" t="s">
        <v>7</v>
      </c>
      <c r="D46">
        <v>380</v>
      </c>
      <c r="E46">
        <v>92</v>
      </c>
    </row>
    <row r="47" spans="1:5" hidden="1" x14ac:dyDescent="0.3">
      <c r="A47" t="s">
        <v>28</v>
      </c>
      <c r="B47" t="s">
        <v>6</v>
      </c>
      <c r="C47" t="s">
        <v>13</v>
      </c>
      <c r="D47">
        <v>398</v>
      </c>
      <c r="E47">
        <v>33</v>
      </c>
    </row>
    <row r="48" spans="1:5" hidden="1" x14ac:dyDescent="0.3">
      <c r="A48" t="s">
        <v>26</v>
      </c>
      <c r="B48" t="s">
        <v>9</v>
      </c>
      <c r="C48" t="s">
        <v>7</v>
      </c>
      <c r="D48">
        <v>409</v>
      </c>
      <c r="E48">
        <v>81</v>
      </c>
    </row>
    <row r="49" spans="1:5" hidden="1" x14ac:dyDescent="0.3">
      <c r="A49" t="s">
        <v>16</v>
      </c>
      <c r="B49" t="s">
        <v>9</v>
      </c>
      <c r="C49" t="s">
        <v>13</v>
      </c>
      <c r="D49">
        <v>417</v>
      </c>
      <c r="E49">
        <v>29</v>
      </c>
    </row>
    <row r="50" spans="1:5" hidden="1" x14ac:dyDescent="0.3">
      <c r="A50" t="s">
        <v>17</v>
      </c>
      <c r="B50" t="s">
        <v>6</v>
      </c>
      <c r="C50" t="s">
        <v>13</v>
      </c>
      <c r="D50">
        <v>441</v>
      </c>
      <c r="E50">
        <v>44</v>
      </c>
    </row>
    <row r="51" spans="1:5" hidden="1" x14ac:dyDescent="0.3">
      <c r="A51" t="s">
        <v>19</v>
      </c>
      <c r="B51" t="s">
        <v>6</v>
      </c>
      <c r="C51" t="s">
        <v>10</v>
      </c>
      <c r="D51">
        <v>441</v>
      </c>
      <c r="E51">
        <v>79</v>
      </c>
    </row>
    <row r="52" spans="1:5" hidden="1" x14ac:dyDescent="0.3">
      <c r="A52" t="s">
        <v>5</v>
      </c>
      <c r="B52" t="s">
        <v>6</v>
      </c>
      <c r="C52" t="s">
        <v>7</v>
      </c>
      <c r="D52">
        <v>456</v>
      </c>
      <c r="E52">
        <v>93</v>
      </c>
    </row>
    <row r="53" spans="1:5" hidden="1" x14ac:dyDescent="0.3">
      <c r="A53" t="s">
        <v>22</v>
      </c>
      <c r="B53" t="s">
        <v>23</v>
      </c>
      <c r="C53" t="s">
        <v>7</v>
      </c>
      <c r="D53">
        <v>467</v>
      </c>
      <c r="E53">
        <v>97</v>
      </c>
    </row>
    <row r="54" spans="1:5" hidden="1" x14ac:dyDescent="0.3">
      <c r="A54" t="s">
        <v>21</v>
      </c>
      <c r="B54" t="s">
        <v>6</v>
      </c>
      <c r="C54" t="s">
        <v>10</v>
      </c>
      <c r="D54">
        <v>483</v>
      </c>
      <c r="E54">
        <v>97</v>
      </c>
    </row>
    <row r="55" spans="1:5" hidden="1" x14ac:dyDescent="0.3">
      <c r="A55" t="s">
        <v>25</v>
      </c>
      <c r="B55" t="s">
        <v>9</v>
      </c>
      <c r="C55" t="s">
        <v>10</v>
      </c>
      <c r="D55">
        <v>497</v>
      </c>
      <c r="E55">
        <v>71</v>
      </c>
    </row>
  </sheetData>
  <autoFilter ref="A35:E55">
    <filterColumn colId="1">
      <filters>
        <filter val="North"/>
      </filters>
    </filterColumn>
  </autoFilter>
  <sortState ref="A9:E28">
    <sortCondition ref="D9:D28"/>
  </sortState>
  <pageMargins left="0.75" right="0.75" top="1" bottom="1" header="0.5" footer="0.5"/>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3"/>
  <sheetViews>
    <sheetView workbookViewId="0">
      <selection activeCell="A6" sqref="A6"/>
    </sheetView>
  </sheetViews>
  <sheetFormatPr defaultRowHeight="14.4" x14ac:dyDescent="0.3"/>
  <cols>
    <col min="1" max="1" width="12.5546875" bestFit="1" customWidth="1"/>
    <col min="2" max="2" width="11.6640625" bestFit="1" customWidth="1"/>
  </cols>
  <sheetData>
    <row r="1" spans="1:2" x14ac:dyDescent="0.3">
      <c r="A1" t="s">
        <v>41</v>
      </c>
    </row>
    <row r="2" spans="1:2" x14ac:dyDescent="0.3">
      <c r="A2" t="s">
        <v>42</v>
      </c>
    </row>
    <row r="4" spans="1:2" x14ac:dyDescent="0.3">
      <c r="A4" t="s">
        <v>34</v>
      </c>
    </row>
    <row r="6" spans="1:2" x14ac:dyDescent="0.3">
      <c r="A6" s="10" t="s">
        <v>55</v>
      </c>
      <c r="B6" t="s">
        <v>57</v>
      </c>
    </row>
    <row r="7" spans="1:2" x14ac:dyDescent="0.3">
      <c r="A7" s="11" t="s">
        <v>69</v>
      </c>
      <c r="B7" s="9">
        <v>1281</v>
      </c>
    </row>
    <row r="8" spans="1:2" x14ac:dyDescent="0.3">
      <c r="A8" s="11" t="s">
        <v>70</v>
      </c>
      <c r="B8" s="9">
        <v>1032</v>
      </c>
    </row>
    <row r="9" spans="1:2" x14ac:dyDescent="0.3">
      <c r="A9" s="11" t="s">
        <v>71</v>
      </c>
      <c r="B9" s="9">
        <v>958</v>
      </c>
    </row>
    <row r="10" spans="1:2" x14ac:dyDescent="0.3">
      <c r="A10" s="11" t="s">
        <v>72</v>
      </c>
      <c r="B10" s="9">
        <v>1155</v>
      </c>
    </row>
    <row r="11" spans="1:2" x14ac:dyDescent="0.3">
      <c r="A11" s="11" t="s">
        <v>73</v>
      </c>
      <c r="B11" s="9">
        <v>1286</v>
      </c>
    </row>
    <row r="12" spans="1:2" x14ac:dyDescent="0.3">
      <c r="A12" s="11" t="s">
        <v>74</v>
      </c>
      <c r="B12" s="9">
        <v>1117</v>
      </c>
    </row>
    <row r="13" spans="1:2" x14ac:dyDescent="0.3">
      <c r="A13" s="11" t="s">
        <v>56</v>
      </c>
      <c r="B13" s="9">
        <v>6829</v>
      </c>
    </row>
  </sheetData>
  <pageMargins left="0.75" right="0.75" top="1" bottom="1" header="0.5" footer="0.5"/>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7"/>
  <sheetViews>
    <sheetView workbookViewId="0">
      <selection activeCell="K18" sqref="K18"/>
    </sheetView>
  </sheetViews>
  <sheetFormatPr defaultRowHeight="14.4" x14ac:dyDescent="0.3"/>
  <cols>
    <col min="2" max="2" width="12.5546875" customWidth="1"/>
    <col min="3" max="3" width="11.6640625" bestFit="1" customWidth="1"/>
  </cols>
  <sheetData>
    <row r="1" spans="1:3" x14ac:dyDescent="0.3">
      <c r="A1" t="s">
        <v>43</v>
      </c>
    </row>
    <row r="2" spans="1:3" x14ac:dyDescent="0.3">
      <c r="A2" t="s">
        <v>44</v>
      </c>
    </row>
    <row r="4" spans="1:3" x14ac:dyDescent="0.3">
      <c r="A4" t="s">
        <v>34</v>
      </c>
      <c r="B4" s="10" t="s">
        <v>55</v>
      </c>
      <c r="C4" t="s">
        <v>57</v>
      </c>
    </row>
    <row r="5" spans="1:3" x14ac:dyDescent="0.3">
      <c r="B5" s="11" t="s">
        <v>67</v>
      </c>
      <c r="C5" s="9"/>
    </row>
    <row r="6" spans="1:3" x14ac:dyDescent="0.3">
      <c r="B6" s="12" t="s">
        <v>13</v>
      </c>
      <c r="C6" s="9">
        <v>1805</v>
      </c>
    </row>
    <row r="7" spans="1:3" x14ac:dyDescent="0.3">
      <c r="B7" s="11" t="s">
        <v>56</v>
      </c>
      <c r="C7" s="9">
        <v>1805</v>
      </c>
    </row>
  </sheetData>
  <pageMargins left="0.75" right="0.75" top="1" bottom="1" header="0.5" footer="0.5"/>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5"/>
  <sheetViews>
    <sheetView workbookViewId="0">
      <selection activeCell="E12" sqref="E12"/>
    </sheetView>
  </sheetViews>
  <sheetFormatPr defaultRowHeight="14.4" x14ac:dyDescent="0.3"/>
  <sheetData>
    <row r="1" spans="1:2" x14ac:dyDescent="0.3">
      <c r="A1" t="s">
        <v>45</v>
      </c>
    </row>
    <row r="2" spans="1:2" x14ac:dyDescent="0.3">
      <c r="A2" t="s">
        <v>46</v>
      </c>
    </row>
    <row r="4" spans="1:2" s="2" customFormat="1" x14ac:dyDescent="0.3">
      <c r="A4" s="2" t="s">
        <v>34</v>
      </c>
      <c r="B4" s="2" t="s">
        <v>76</v>
      </c>
    </row>
    <row r="5" spans="1:2" s="2" customFormat="1" x14ac:dyDescent="0.3">
      <c r="B5" s="2" t="s">
        <v>75</v>
      </c>
    </row>
  </sheetData>
  <pageMargins left="0.75" right="0.75" top="1" bottom="1" header="0.5" footer="0.5"/>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4"/>
  <sheetViews>
    <sheetView workbookViewId="0">
      <selection activeCell="J20" sqref="J20"/>
    </sheetView>
  </sheetViews>
  <sheetFormatPr defaultRowHeight="14.4" x14ac:dyDescent="0.3"/>
  <cols>
    <col min="2" max="2" width="12.5546875" bestFit="1" customWidth="1"/>
    <col min="3" max="3" width="11.6640625" bestFit="1" customWidth="1"/>
    <col min="5" max="5" width="12.5546875" bestFit="1" customWidth="1"/>
    <col min="6" max="6" width="11.6640625" bestFit="1" customWidth="1"/>
    <col min="12" max="12" width="12.5546875" bestFit="1" customWidth="1"/>
    <col min="13" max="13" width="11.6640625" bestFit="1" customWidth="1"/>
  </cols>
  <sheetData>
    <row r="1" spans="1:1" x14ac:dyDescent="0.3">
      <c r="A1" t="s">
        <v>47</v>
      </c>
    </row>
    <row r="2" spans="1:1" x14ac:dyDescent="0.3">
      <c r="A2" t="s">
        <v>48</v>
      </c>
    </row>
    <row r="4" spans="1:1" x14ac:dyDescent="0.3">
      <c r="A4" t="s">
        <v>34</v>
      </c>
    </row>
    <row r="37" spans="2:6" x14ac:dyDescent="0.3">
      <c r="B37" s="10" t="s">
        <v>55</v>
      </c>
      <c r="C37" t="s">
        <v>57</v>
      </c>
      <c r="E37" s="10" t="s">
        <v>55</v>
      </c>
      <c r="F37" t="s">
        <v>57</v>
      </c>
    </row>
    <row r="38" spans="2:6" x14ac:dyDescent="0.3">
      <c r="B38" s="11" t="s">
        <v>69</v>
      </c>
      <c r="C38" s="9">
        <v>1281</v>
      </c>
      <c r="E38" s="11" t="s">
        <v>30</v>
      </c>
      <c r="F38" s="9">
        <v>347</v>
      </c>
    </row>
    <row r="39" spans="2:6" x14ac:dyDescent="0.3">
      <c r="B39" s="11" t="s">
        <v>70</v>
      </c>
      <c r="C39" s="9">
        <v>1032</v>
      </c>
      <c r="E39" s="11" t="s">
        <v>9</v>
      </c>
      <c r="F39" s="9">
        <v>845</v>
      </c>
    </row>
    <row r="40" spans="2:6" x14ac:dyDescent="0.3">
      <c r="B40" s="11" t="s">
        <v>71</v>
      </c>
      <c r="C40" s="9">
        <v>958</v>
      </c>
      <c r="E40" s="11" t="s">
        <v>6</v>
      </c>
      <c r="F40" s="9">
        <v>1311</v>
      </c>
    </row>
    <row r="41" spans="2:6" x14ac:dyDescent="0.3">
      <c r="B41" s="11" t="s">
        <v>72</v>
      </c>
      <c r="C41" s="9">
        <v>1155</v>
      </c>
      <c r="E41" s="11" t="s">
        <v>56</v>
      </c>
      <c r="F41" s="9">
        <v>2503</v>
      </c>
    </row>
    <row r="42" spans="2:6" x14ac:dyDescent="0.3">
      <c r="B42" s="11" t="s">
        <v>73</v>
      </c>
      <c r="C42" s="9">
        <v>1286</v>
      </c>
    </row>
    <row r="43" spans="2:6" x14ac:dyDescent="0.3">
      <c r="B43" s="11" t="s">
        <v>74</v>
      </c>
      <c r="C43" s="9">
        <v>1117</v>
      </c>
    </row>
    <row r="44" spans="2:6" x14ac:dyDescent="0.3">
      <c r="B44" s="11" t="s">
        <v>56</v>
      </c>
      <c r="C44" s="9">
        <v>6829</v>
      </c>
    </row>
  </sheetData>
  <pageMargins left="0.75" right="0.75" top="1" bottom="1" header="0.5" footer="0.5"/>
  <drawing r:id="rId3"/>
  <extLst>
    <ext xmlns:x14="http://schemas.microsoft.com/office/spreadsheetml/2009/9/main" uri="{A8765BA9-456A-4dab-B4F3-ACF838C121DE}">
      <x14:slicerList>
        <x14:slicer r:id="rId4"/>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1"/>
  <sheetViews>
    <sheetView workbookViewId="0">
      <selection activeCell="B4" sqref="B4:C11"/>
    </sheetView>
  </sheetViews>
  <sheetFormatPr defaultRowHeight="14.4" x14ac:dyDescent="0.3"/>
  <cols>
    <col min="2" max="2" width="12.5546875" bestFit="1" customWidth="1"/>
    <col min="3" max="3" width="14.88671875" bestFit="1" customWidth="1"/>
  </cols>
  <sheetData>
    <row r="1" spans="1:3" x14ac:dyDescent="0.3">
      <c r="A1" t="s">
        <v>49</v>
      </c>
    </row>
    <row r="2" spans="1:3" x14ac:dyDescent="0.3">
      <c r="A2" t="s">
        <v>50</v>
      </c>
    </row>
    <row r="4" spans="1:3" x14ac:dyDescent="0.3">
      <c r="A4" t="s">
        <v>34</v>
      </c>
      <c r="B4" s="13" t="s">
        <v>55</v>
      </c>
      <c r="C4" s="14" t="s">
        <v>77</v>
      </c>
    </row>
    <row r="5" spans="1:3" x14ac:dyDescent="0.3">
      <c r="B5" s="15" t="s">
        <v>69</v>
      </c>
      <c r="C5" s="16">
        <v>320.25</v>
      </c>
    </row>
    <row r="6" spans="1:3" x14ac:dyDescent="0.3">
      <c r="B6" s="15" t="s">
        <v>70</v>
      </c>
      <c r="C6" s="16">
        <v>344</v>
      </c>
    </row>
    <row r="7" spans="1:3" x14ac:dyDescent="0.3">
      <c r="B7" s="15" t="s">
        <v>71</v>
      </c>
      <c r="C7" s="16">
        <v>319.33333333333331</v>
      </c>
    </row>
    <row r="8" spans="1:3" x14ac:dyDescent="0.3">
      <c r="B8" s="15" t="s">
        <v>72</v>
      </c>
      <c r="C8" s="16">
        <v>385</v>
      </c>
    </row>
    <row r="9" spans="1:3" x14ac:dyDescent="0.3">
      <c r="B9" s="15" t="s">
        <v>73</v>
      </c>
      <c r="C9" s="16">
        <v>428.66666666666669</v>
      </c>
    </row>
    <row r="10" spans="1:3" x14ac:dyDescent="0.3">
      <c r="B10" s="15" t="s">
        <v>74</v>
      </c>
      <c r="C10" s="16">
        <v>279.25</v>
      </c>
    </row>
    <row r="11" spans="1:3" x14ac:dyDescent="0.3">
      <c r="B11" s="15" t="s">
        <v>56</v>
      </c>
      <c r="C11" s="16">
        <v>341.45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9"/>
  <sheetViews>
    <sheetView workbookViewId="0">
      <selection activeCell="G18" sqref="G18"/>
    </sheetView>
  </sheetViews>
  <sheetFormatPr defaultRowHeight="14.4" x14ac:dyDescent="0.3"/>
  <cols>
    <col min="2" max="2" width="12.5546875" bestFit="1" customWidth="1"/>
    <col min="3" max="3" width="11.6640625" customWidth="1"/>
  </cols>
  <sheetData>
    <row r="1" spans="1:3" x14ac:dyDescent="0.3">
      <c r="A1" t="s">
        <v>51</v>
      </c>
    </row>
    <row r="2" spans="1:3" x14ac:dyDescent="0.3">
      <c r="A2" t="s">
        <v>52</v>
      </c>
    </row>
    <row r="4" spans="1:3" x14ac:dyDescent="0.3">
      <c r="A4" t="s">
        <v>34</v>
      </c>
    </row>
    <row r="6" spans="1:3" x14ac:dyDescent="0.3">
      <c r="B6" s="10" t="s">
        <v>55</v>
      </c>
      <c r="C6" t="s">
        <v>57</v>
      </c>
    </row>
    <row r="7" spans="1:3" x14ac:dyDescent="0.3">
      <c r="B7" s="11" t="s">
        <v>67</v>
      </c>
      <c r="C7" s="9">
        <v>4308</v>
      </c>
    </row>
    <row r="8" spans="1:3" x14ac:dyDescent="0.3">
      <c r="B8" s="11" t="s">
        <v>7</v>
      </c>
      <c r="C8" s="9">
        <v>2521</v>
      </c>
    </row>
    <row r="9" spans="1:3" x14ac:dyDescent="0.3">
      <c r="B9" s="11" t="s">
        <v>56</v>
      </c>
      <c r="C9" s="9">
        <v>6829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Dataset</vt:lpstr>
      <vt:lpstr>Question 1</vt:lpstr>
      <vt:lpstr>Question 2</vt:lpstr>
      <vt:lpstr>Question 3</vt:lpstr>
      <vt:lpstr>Question 4</vt:lpstr>
      <vt:lpstr>Question 5</vt:lpstr>
      <vt:lpstr>Question 6</vt:lpstr>
      <vt:lpstr>Question 7</vt:lpstr>
      <vt:lpstr>Question 8</vt:lpstr>
      <vt:lpstr>Question 9</vt:lpstr>
      <vt:lpstr>Question 10</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LENOVO</cp:lastModifiedBy>
  <dcterms:created xsi:type="dcterms:W3CDTF">2026-01-18T07:19:22Z</dcterms:created>
  <dcterms:modified xsi:type="dcterms:W3CDTF">2026-01-18T13:31:52Z</dcterms:modified>
</cp:coreProperties>
</file>