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WSKILLS\EXCEL\ASSIGNMENT 3\"/>
    </mc:Choice>
  </mc:AlternateContent>
  <bookViews>
    <workbookView xWindow="0" yWindow="0" windowWidth="23040" windowHeight="8100" activeTab="7"/>
  </bookViews>
  <sheets>
    <sheet name="Q1" sheetId="1" r:id="rId1"/>
    <sheet name="Q2" sheetId="2" r:id="rId2"/>
    <sheet name="Q3" sheetId="3" r:id="rId3"/>
    <sheet name="Q4" sheetId="4" r:id="rId4"/>
    <sheet name="Q5" sheetId="5" r:id="rId5"/>
    <sheet name="Q6" sheetId="6" r:id="rId6"/>
    <sheet name="Q7" sheetId="7" r:id="rId7"/>
    <sheet name="Q8" sheetId="8" r:id="rId8"/>
  </sheets>
  <calcPr calcId="152511"/>
</workbook>
</file>

<file path=xl/calcChain.xml><?xml version="1.0" encoding="utf-8"?>
<calcChain xmlns="http://schemas.openxmlformats.org/spreadsheetml/2006/main">
  <c r="F5" i="8" l="1"/>
  <c r="H5" i="7"/>
  <c r="G4" i="6"/>
  <c r="G5" i="6"/>
  <c r="G6" i="6"/>
  <c r="F4" i="5"/>
  <c r="H8" i="4"/>
  <c r="F4" i="3"/>
  <c r="F5" i="3"/>
  <c r="F6" i="3"/>
  <c r="F7" i="3"/>
  <c r="F8" i="3"/>
  <c r="E4" i="2"/>
  <c r="E5" i="2"/>
  <c r="E6" i="2"/>
  <c r="E7" i="2"/>
  <c r="F4" i="1"/>
  <c r="F5" i="1"/>
  <c r="F6" i="1"/>
  <c r="F7" i="1"/>
  <c r="F8" i="1"/>
</calcChain>
</file>

<file path=xl/sharedStrings.xml><?xml version="1.0" encoding="utf-8"?>
<sst xmlns="http://schemas.openxmlformats.org/spreadsheetml/2006/main" count="87" uniqueCount="69">
  <si>
    <t>Student Name</t>
  </si>
  <si>
    <t>Marks</t>
  </si>
  <si>
    <t>Riya</t>
  </si>
  <si>
    <t>Siya</t>
  </si>
  <si>
    <t>Raju</t>
  </si>
  <si>
    <t>Rahul</t>
  </si>
  <si>
    <t>Ram</t>
  </si>
  <si>
    <t>Employee</t>
  </si>
  <si>
    <t>Sales</t>
  </si>
  <si>
    <t>Attendance</t>
  </si>
  <si>
    <t>Arjun</t>
  </si>
  <si>
    <t>Simran</t>
  </si>
  <si>
    <t>Rohit</t>
  </si>
  <si>
    <t>Anjali</t>
  </si>
  <si>
    <t>Raj</t>
  </si>
  <si>
    <t>Neha</t>
  </si>
  <si>
    <t>Vivek</t>
  </si>
  <si>
    <t>Rani</t>
  </si>
  <si>
    <t>Sneha</t>
  </si>
  <si>
    <t>EmpID</t>
  </si>
  <si>
    <t>Name</t>
  </si>
  <si>
    <t>Department</t>
  </si>
  <si>
    <t>E101</t>
  </si>
  <si>
    <t>IT</t>
  </si>
  <si>
    <t>E102</t>
  </si>
  <si>
    <t>HR</t>
  </si>
  <si>
    <t>E103</t>
  </si>
  <si>
    <t>Roshni</t>
  </si>
  <si>
    <t>Finance</t>
  </si>
  <si>
    <t>E104</t>
  </si>
  <si>
    <t>Sejal</t>
  </si>
  <si>
    <t>Sales Amount</t>
  </si>
  <si>
    <t>Commission Rate</t>
  </si>
  <si>
    <t>5%</t>
  </si>
  <si>
    <t>10%</t>
  </si>
  <si>
    <t>15%</t>
  </si>
  <si>
    <t>20%</t>
  </si>
  <si>
    <t>Employee Name</t>
  </si>
  <si>
    <t>Leaves Taken</t>
  </si>
  <si>
    <t>Leaves Allowed</t>
  </si>
  <si>
    <t>Alex</t>
  </si>
  <si>
    <t>Bob</t>
  </si>
  <si>
    <t>Anna</t>
  </si>
  <si>
    <t>Salary</t>
  </si>
  <si>
    <t>E105</t>
  </si>
  <si>
    <t>E106</t>
  </si>
  <si>
    <t>E303</t>
  </si>
  <si>
    <t>E301</t>
  </si>
  <si>
    <t xml:space="preserve">Write a formula to check if the marks in cell are greater than or equal to 40. If yes, return , PASS otherwise FAIL.
</t>
  </si>
  <si>
    <t>Result</t>
  </si>
  <si>
    <t>A company gives a bonus if sales are above 40,000 and attendance is greater than or equal to 90%. Write a formula to calculate whether the employee will get a bonus or not .</t>
  </si>
  <si>
    <t>Bonus</t>
  </si>
  <si>
    <t>3.)Write a nested IF formula: If marks in B2 are ≥ 90 →"A" , ≥ 75 →"B" , ≥ 50 →"C" , otherwise "Fail".</t>
  </si>
  <si>
    <t>Find the Department of Employee ID = E103. Also explain which LOOKUP function is used and why?</t>
  </si>
  <si>
    <t>To find the department of employee ID E103 we use VLOOKUP. Because data is arranged vertically. EMPID is in first column and we need to get department of that employee from next column.</t>
  </si>
  <si>
    <t>Column H8 marked In green has formula</t>
  </si>
  <si>
    <t>A company has set the following commission structure for its sales team: If a salesperson achieves sales of ₹45,000, use the VLOOKUP function to determine the commission rate applicable.</t>
  </si>
  <si>
    <t>Here we have used "TRUE" for approximate match.Since 45,000 is not listed here, Excel finds the closest  value 20,000 and gives the rate of 10%.</t>
  </si>
  <si>
    <r>
      <t>The HR department maintains the following leave records of employees:onus or not .</t>
    </r>
    <r>
      <rPr>
        <sz val="8"/>
        <color theme="1"/>
        <rFont val="Segoe UI"/>
        <family val="2"/>
      </rPr>
      <t> </t>
    </r>
    <r>
      <rPr>
        <b/>
        <sz val="8"/>
        <color theme="1"/>
        <rFont val="Segoe UI"/>
        <family val="2"/>
      </rPr>
      <t>Write an IF function to check whether an employee has Exceeded their allowed leave balance.</t>
    </r>
  </si>
  <si>
    <t>Leave Balance</t>
  </si>
  <si>
    <t>Find the salary of EmpID = E105 using INDEX-MATCH Function.</t>
  </si>
  <si>
    <t>Match: searches for E105 in empid column and finds its position</t>
  </si>
  <si>
    <t>Index:returns salary from salary column for that position</t>
  </si>
  <si>
    <t>EMPid</t>
  </si>
  <si>
    <t>SAL</t>
  </si>
  <si>
    <t>Use the XLOOKUP function to find the Department of the employee with Emp ID = E303.</t>
  </si>
  <si>
    <t>XLOOKUP can be used for data arranged vertically or horizontally. .It replaces VLOOKUP and HLOOKUP, supports two-way lookups and allows customised messages if we have missing results.</t>
  </si>
  <si>
    <t>Column E has formulas</t>
  </si>
  <si>
    <t>Column F has formulas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</si>
</sst>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006100"/>
      <name val="Calibri"/>
      <family val="2"/>
      <scheme val="minor"/>
    </font>
    <font>
      <sz val="11"/>
      <color rgb="FF9C0006"/>
      <name val="Calibri"/>
      <family val="2"/>
      <scheme val="minor"/>
    </font>
    <font>
      <b/>
      <sz val="11"/>
      <color theme="0"/>
      <name val="Calibri"/>
      <family val="2"/>
      <scheme val="minor"/>
    </font>
    <font>
      <b/>
      <sz val="8"/>
      <color theme="1"/>
      <name val="Segoe UI"/>
      <family val="2"/>
    </font>
    <font>
      <b/>
      <sz val="11"/>
      <color theme="1"/>
      <name val="Times New Roman"/>
      <family val="1"/>
    </font>
    <font>
      <sz val="8"/>
      <color theme="1"/>
      <name val="Segoe UI"/>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theme="4"/>
        <bgColor theme="4"/>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92D050"/>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4">
    <xf numFmtId="0" fontId="0" fillId="0" borderId="0" xfId="0"/>
    <xf numFmtId="0" fontId="3" fillId="4" borderId="2" xfId="0" applyFont="1" applyFill="1" applyBorder="1"/>
    <xf numFmtId="0" fontId="0" fillId="5" borderId="3" xfId="0" applyFont="1" applyFill="1" applyBorder="1"/>
    <xf numFmtId="0" fontId="0" fillId="7" borderId="0" xfId="0" applyFill="1"/>
    <xf numFmtId="0" fontId="0" fillId="6" borderId="0" xfId="0" applyFill="1"/>
    <xf numFmtId="0" fontId="4" fillId="8" borderId="0" xfId="0" applyFont="1" applyFill="1"/>
    <xf numFmtId="0" fontId="0" fillId="8" borderId="0" xfId="0" applyFill="1"/>
    <xf numFmtId="0" fontId="1" fillId="2" borderId="0" xfId="1"/>
    <xf numFmtId="0" fontId="1" fillId="2" borderId="1" xfId="1" applyBorder="1"/>
    <xf numFmtId="0" fontId="0" fillId="9" borderId="0" xfId="0" applyFill="1"/>
    <xf numFmtId="0" fontId="1" fillId="2" borderId="4" xfId="1" applyBorder="1"/>
    <xf numFmtId="0" fontId="2" fillId="3" borderId="0" xfId="2"/>
    <xf numFmtId="0" fontId="0" fillId="8" borderId="0" xfId="0" applyFill="1" applyAlignment="1"/>
    <xf numFmtId="0" fontId="5" fillId="8" borderId="0" xfId="0" applyFont="1" applyFill="1" applyAlignment="1"/>
  </cellXfs>
  <cellStyles count="3">
    <cellStyle name="Bad" xfId="2" builtinId="27"/>
    <cellStyle name="Good" xfId="1" builtinId="26"/>
    <cellStyle name="Normal" xfId="0" builtinId="0"/>
  </cellStyles>
  <dxfs count="4">
    <dxf>
      <numFmt numFmtId="0" formatCode="General"/>
      <fill>
        <patternFill patternType="solid">
          <fgColor indexed="64"/>
          <bgColor rgb="FF92D050"/>
        </patternFill>
      </fill>
    </dxf>
    <dxf>
      <numFmt numFmtId="0" formatCode="General"/>
      <fill>
        <patternFill patternType="solid">
          <fgColor indexed="64"/>
          <bgColor rgb="FF92D050"/>
        </patternFill>
      </fill>
    </dxf>
    <dxf>
      <numFmt numFmtId="0" formatCode="General"/>
      <fill>
        <patternFill patternType="solid">
          <fgColor indexed="64"/>
          <bgColor rgb="FF92D050"/>
        </patternFill>
      </fil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129539</xdr:colOff>
      <xdr:row>3</xdr:row>
      <xdr:rowOff>0</xdr:rowOff>
    </xdr:from>
    <xdr:to>
      <xdr:col>13</xdr:col>
      <xdr:colOff>129538</xdr:colOff>
      <xdr:row>7</xdr:row>
      <xdr:rowOff>76200</xdr:rowOff>
    </xdr:to>
    <xdr:pic>
      <xdr:nvPicPr>
        <xdr:cNvPr id="2" name="Picture 1"/>
        <xdr:cNvPicPr>
          <a:picLocks noChangeAspect="1"/>
        </xdr:cNvPicPr>
      </xdr:nvPicPr>
      <xdr:blipFill>
        <a:blip xmlns:r="http://schemas.openxmlformats.org/officeDocument/2006/relationships" r:embed="rId1"/>
        <a:stretch>
          <a:fillRect/>
        </a:stretch>
      </xdr:blipFill>
      <xdr:spPr>
        <a:xfrm>
          <a:off x="4678679" y="548640"/>
          <a:ext cx="3657599" cy="807720"/>
        </a:xfrm>
        <a:prstGeom prst="rect">
          <a:avLst/>
        </a:prstGeom>
        <a:solidFill>
          <a:srgbClr val="92D050"/>
        </a:solidFill>
      </xdr:spPr>
    </xdr:pic>
    <xdr:clientData/>
  </xdr:twoCellAnchor>
</xdr:wsDr>
</file>

<file path=xl/tables/table1.xml><?xml version="1.0" encoding="utf-8"?>
<table xmlns="http://schemas.openxmlformats.org/spreadsheetml/2006/main" id="2" name="Table2" displayName="Table2" ref="D3:F8" totalsRowShown="0">
  <autoFilter ref="D3:F8"/>
  <tableColumns count="3">
    <tableColumn id="1" name="Student Name"/>
    <tableColumn id="2" name="Marks"/>
    <tableColumn id="3" name="Result" dataDxfId="2">
      <calculatedColumnFormula>IF(E4&gt;=40,"Pass","Fail")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B3:E7" totalsRowShown="0">
  <autoFilter ref="B3:E7"/>
  <tableColumns count="4">
    <tableColumn id="1" name="Employee"/>
    <tableColumn id="2" name="Sales"/>
    <tableColumn id="3" name="Attendance"/>
    <tableColumn id="4" name="Bonus" dataDxfId="1">
      <calculatedColumnFormula>IF(AND(C4&gt;40000,D4&gt;=90),"Bonus","No Bonus")</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1" name="Table1" displayName="Table1" ref="D3:F8" totalsRowShown="0">
  <autoFilter ref="D3:F8"/>
  <tableColumns count="3">
    <tableColumn id="1" name="Student Name"/>
    <tableColumn id="2" name="Marks"/>
    <tableColumn id="3" name="Result" dataDxfId="0">
      <calculatedColumnFormula>IF(E4&gt;=90,"A",IF(E4&gt;=75,"B",IF(E4&gt;=50,"C","FAIL")))</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E5:G9" totalsRowShown="0">
  <autoFilter ref="E5:G9"/>
  <tableColumns count="3">
    <tableColumn id="1" name="EmpID"/>
    <tableColumn id="2" name="Name"/>
    <tableColumn id="3" name="Department"/>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C3:D7" totalsRowShown="0">
  <autoFilter ref="C3:D7"/>
  <tableColumns count="2">
    <tableColumn id="1" name="Sales Amount"/>
    <tableColumn id="2" name="Commission Rate"/>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D3:G6" totalsRowShown="0">
  <autoFilter ref="D3:G6"/>
  <tableColumns count="4">
    <tableColumn id="1" name="Employee Name"/>
    <tableColumn id="2" name="Leaves Taken"/>
    <tableColumn id="3" name="Leaves Allowed"/>
    <tableColumn id="4" name="Leave Balance" dataDxfId="3">
      <calculatedColumnFormula>IF(E4&gt;F4,"Exceeded","Not Exceeded")</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D3:E7" totalsRowShown="0">
  <autoFilter ref="D3:E7"/>
  <tableColumns count="2">
    <tableColumn id="1" name="EmpID"/>
    <tableColumn id="2" name="Salary"/>
  </tableColumns>
  <tableStyleInfo name="TableStyleMedium9" showFirstColumn="0" showLastColumn="0" showRowStripes="1" showColumnStripes="0"/>
</table>
</file>

<file path=xl/tables/table8.xml><?xml version="1.0" encoding="utf-8"?>
<table xmlns="http://schemas.openxmlformats.org/spreadsheetml/2006/main" id="9" name="Table9" displayName="Table9" ref="C4:D8" totalsRowShown="0">
  <autoFilter ref="C4:D8"/>
  <tableColumns count="2">
    <tableColumn id="1" name="EmpID"/>
    <tableColumn id="2" name="Depart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selection activeCell="H11" sqref="H11"/>
    </sheetView>
  </sheetViews>
  <sheetFormatPr defaultRowHeight="14.4" x14ac:dyDescent="0.3"/>
  <cols>
    <col min="1" max="1" width="22.44140625" customWidth="1"/>
    <col min="4" max="4" width="15" customWidth="1"/>
  </cols>
  <sheetData>
    <row r="1" spans="1:11" s="6" customFormat="1" x14ac:dyDescent="0.3">
      <c r="A1" s="12" t="s">
        <v>48</v>
      </c>
    </row>
    <row r="3" spans="1:11" x14ac:dyDescent="0.3">
      <c r="D3" t="s">
        <v>0</v>
      </c>
      <c r="E3" t="s">
        <v>1</v>
      </c>
      <c r="F3" s="9" t="s">
        <v>49</v>
      </c>
    </row>
    <row r="4" spans="1:11" x14ac:dyDescent="0.3">
      <c r="D4" t="s">
        <v>2</v>
      </c>
      <c r="E4">
        <v>45</v>
      </c>
      <c r="F4" s="9" t="str">
        <f t="shared" ref="F4:F8" si="0">IF(E4&gt;=40,"Pass","Fail")</f>
        <v>Pass</v>
      </c>
    </row>
    <row r="5" spans="1:11" x14ac:dyDescent="0.3">
      <c r="D5" t="s">
        <v>3</v>
      </c>
      <c r="E5">
        <v>72</v>
      </c>
      <c r="F5" s="9" t="str">
        <f t="shared" si="0"/>
        <v>Pass</v>
      </c>
      <c r="I5" s="7" t="s">
        <v>68</v>
      </c>
      <c r="J5" s="7"/>
      <c r="K5" s="7"/>
    </row>
    <row r="6" spans="1:11" x14ac:dyDescent="0.3">
      <c r="D6" t="s">
        <v>4</v>
      </c>
      <c r="E6">
        <v>55</v>
      </c>
      <c r="F6" s="9" t="str">
        <f t="shared" si="0"/>
        <v>Pass</v>
      </c>
    </row>
    <row r="7" spans="1:11" x14ac:dyDescent="0.3">
      <c r="D7" t="s">
        <v>5</v>
      </c>
      <c r="E7">
        <v>80</v>
      </c>
      <c r="F7" s="9" t="str">
        <f t="shared" si="0"/>
        <v>Pass</v>
      </c>
    </row>
    <row r="8" spans="1:11" x14ac:dyDescent="0.3">
      <c r="D8" t="s">
        <v>6</v>
      </c>
      <c r="E8">
        <v>30</v>
      </c>
      <c r="F8" s="11" t="str">
        <f t="shared" si="0"/>
        <v>Fail</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E4" sqref="E4"/>
    </sheetView>
  </sheetViews>
  <sheetFormatPr defaultRowHeight="14.4" x14ac:dyDescent="0.3"/>
  <cols>
    <col min="1" max="1" width="37.5546875" customWidth="1"/>
    <col min="4" max="4" width="11.21875" customWidth="1"/>
    <col min="6" max="6" width="12.6640625" customWidth="1"/>
  </cols>
  <sheetData>
    <row r="1" spans="1:9" s="6" customFormat="1" ht="23.4" customHeight="1" x14ac:dyDescent="0.3">
      <c r="A1" s="13" t="s">
        <v>50</v>
      </c>
    </row>
    <row r="3" spans="1:9" x14ac:dyDescent="0.3">
      <c r="B3" t="s">
        <v>7</v>
      </c>
      <c r="C3" t="s">
        <v>8</v>
      </c>
      <c r="D3" t="s">
        <v>9</v>
      </c>
      <c r="E3" s="9" t="s">
        <v>51</v>
      </c>
    </row>
    <row r="4" spans="1:9" x14ac:dyDescent="0.3">
      <c r="B4" t="s">
        <v>10</v>
      </c>
      <c r="C4">
        <v>55000</v>
      </c>
      <c r="D4">
        <v>95</v>
      </c>
      <c r="E4" s="9" t="str">
        <f t="shared" ref="E4:E7" si="0">IF(AND(C4&gt;40000,D4&gt;=90),"Bonus","No Bonus")</f>
        <v>Bonus</v>
      </c>
    </row>
    <row r="5" spans="1:9" x14ac:dyDescent="0.3">
      <c r="B5" t="s">
        <v>11</v>
      </c>
      <c r="C5">
        <v>65000</v>
      </c>
      <c r="D5">
        <v>85</v>
      </c>
      <c r="E5" s="9" t="str">
        <f t="shared" si="0"/>
        <v>No Bonus</v>
      </c>
      <c r="H5" s="7" t="s">
        <v>67</v>
      </c>
      <c r="I5" s="7"/>
    </row>
    <row r="6" spans="1:9" x14ac:dyDescent="0.3">
      <c r="B6" t="s">
        <v>12</v>
      </c>
      <c r="C6">
        <v>30000</v>
      </c>
      <c r="D6">
        <v>90</v>
      </c>
      <c r="E6" s="9" t="str">
        <f t="shared" si="0"/>
        <v>No Bonus</v>
      </c>
    </row>
    <row r="7" spans="1:9" x14ac:dyDescent="0.3">
      <c r="B7" t="s">
        <v>13</v>
      </c>
      <c r="C7">
        <v>25000</v>
      </c>
      <c r="D7">
        <v>65</v>
      </c>
      <c r="E7" s="9" t="str">
        <f t="shared" si="0"/>
        <v>No Bonus</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sqref="A1:XFD1"/>
    </sheetView>
  </sheetViews>
  <sheetFormatPr defaultRowHeight="14.4" x14ac:dyDescent="0.3"/>
  <cols>
    <col min="4" max="4" width="15" customWidth="1"/>
  </cols>
  <sheetData>
    <row r="1" spans="1:6" s="6" customFormat="1" x14ac:dyDescent="0.3">
      <c r="A1" s="5" t="s">
        <v>52</v>
      </c>
    </row>
    <row r="3" spans="1:6" x14ac:dyDescent="0.3">
      <c r="D3" t="s">
        <v>0</v>
      </c>
      <c r="E3" t="s">
        <v>1</v>
      </c>
      <c r="F3" s="9" t="s">
        <v>49</v>
      </c>
    </row>
    <row r="4" spans="1:6" x14ac:dyDescent="0.3">
      <c r="D4" t="s">
        <v>14</v>
      </c>
      <c r="E4">
        <v>85</v>
      </c>
      <c r="F4" s="9" t="str">
        <f t="shared" ref="F4:F8" si="0">IF(E4&gt;=90,"A",IF(E4&gt;=75,"B",IF(E4&gt;=50,"C","FAIL")))</f>
        <v>B</v>
      </c>
    </row>
    <row r="5" spans="1:6" x14ac:dyDescent="0.3">
      <c r="D5" t="s">
        <v>15</v>
      </c>
      <c r="E5">
        <v>96</v>
      </c>
      <c r="F5" s="9" t="str">
        <f t="shared" si="0"/>
        <v>A</v>
      </c>
    </row>
    <row r="6" spans="1:6" x14ac:dyDescent="0.3">
      <c r="D6" t="s">
        <v>16</v>
      </c>
      <c r="E6">
        <v>57</v>
      </c>
      <c r="F6" s="9" t="str">
        <f t="shared" si="0"/>
        <v>C</v>
      </c>
    </row>
    <row r="7" spans="1:6" x14ac:dyDescent="0.3">
      <c r="D7" t="s">
        <v>17</v>
      </c>
      <c r="E7">
        <v>92</v>
      </c>
      <c r="F7" s="9" t="str">
        <f t="shared" si="0"/>
        <v>A</v>
      </c>
    </row>
    <row r="8" spans="1:6" x14ac:dyDescent="0.3">
      <c r="D8" t="s">
        <v>18</v>
      </c>
      <c r="E8">
        <v>75</v>
      </c>
      <c r="F8" s="9" t="str">
        <f t="shared" si="0"/>
        <v>B</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
  <sheetViews>
    <sheetView workbookViewId="0">
      <selection activeCell="H8" sqref="H8"/>
    </sheetView>
  </sheetViews>
  <sheetFormatPr defaultRowHeight="14.4" x14ac:dyDescent="0.3"/>
  <cols>
    <col min="1" max="3" width="10.44140625" customWidth="1"/>
  </cols>
  <sheetData>
    <row r="1" spans="1:13" s="6" customFormat="1" x14ac:dyDescent="0.3">
      <c r="A1" s="5" t="s">
        <v>53</v>
      </c>
    </row>
    <row r="3" spans="1:13" s="4" customFormat="1" x14ac:dyDescent="0.3">
      <c r="A3" s="4" t="s">
        <v>54</v>
      </c>
    </row>
    <row r="5" spans="1:13" x14ac:dyDescent="0.3">
      <c r="E5" t="s">
        <v>19</v>
      </c>
      <c r="F5" t="s">
        <v>20</v>
      </c>
      <c r="G5" t="s">
        <v>21</v>
      </c>
    </row>
    <row r="6" spans="1:13" x14ac:dyDescent="0.3">
      <c r="E6" t="s">
        <v>22</v>
      </c>
      <c r="F6" t="s">
        <v>4</v>
      </c>
      <c r="G6" t="s">
        <v>23</v>
      </c>
    </row>
    <row r="7" spans="1:13" x14ac:dyDescent="0.3">
      <c r="E7" t="s">
        <v>24</v>
      </c>
      <c r="F7" t="s">
        <v>2</v>
      </c>
      <c r="G7" t="s">
        <v>25</v>
      </c>
    </row>
    <row r="8" spans="1:13" x14ac:dyDescent="0.3">
      <c r="E8" t="s">
        <v>26</v>
      </c>
      <c r="F8" t="s">
        <v>27</v>
      </c>
      <c r="G8" t="s">
        <v>28</v>
      </c>
      <c r="H8" s="9" t="str">
        <f>VLOOKUP(E8,E5:G9,3,FALSE)</f>
        <v>Finance</v>
      </c>
      <c r="J8" s="8" t="s">
        <v>55</v>
      </c>
      <c r="K8" s="8"/>
      <c r="L8" s="8"/>
      <c r="M8" s="8"/>
    </row>
    <row r="9" spans="1:13" x14ac:dyDescent="0.3">
      <c r="E9" t="s">
        <v>29</v>
      </c>
      <c r="F9" t="s">
        <v>30</v>
      </c>
      <c r="G9" t="s">
        <v>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
  <sheetViews>
    <sheetView workbookViewId="0">
      <selection activeCell="F4" sqref="F4"/>
    </sheetView>
  </sheetViews>
  <sheetFormatPr defaultRowHeight="14.4" x14ac:dyDescent="0.3"/>
  <cols>
    <col min="3" max="3" width="14.44140625" customWidth="1"/>
    <col min="4" max="4" width="17.33203125" customWidth="1"/>
  </cols>
  <sheetData>
    <row r="1" spans="1:20" s="6" customFormat="1" x14ac:dyDescent="0.3">
      <c r="A1" s="5" t="s">
        <v>56</v>
      </c>
    </row>
    <row r="3" spans="1:20" x14ac:dyDescent="0.3">
      <c r="C3" t="s">
        <v>31</v>
      </c>
      <c r="D3" t="s">
        <v>32</v>
      </c>
    </row>
    <row r="4" spans="1:20" x14ac:dyDescent="0.3">
      <c r="C4">
        <v>0</v>
      </c>
      <c r="D4" t="s">
        <v>33</v>
      </c>
      <c r="F4" s="3" t="str">
        <f>VLOOKUP(45000,C4:D7,2,TRUE)</f>
        <v>10%</v>
      </c>
    </row>
    <row r="5" spans="1:20" x14ac:dyDescent="0.3">
      <c r="C5">
        <v>20000</v>
      </c>
      <c r="D5" t="s">
        <v>34</v>
      </c>
      <c r="G5" s="7" t="s">
        <v>57</v>
      </c>
      <c r="H5" s="7"/>
      <c r="I5" s="7"/>
      <c r="J5" s="7"/>
      <c r="K5" s="7"/>
      <c r="L5" s="7"/>
      <c r="M5" s="7"/>
      <c r="N5" s="7"/>
      <c r="O5" s="7"/>
      <c r="P5" s="7"/>
      <c r="Q5" s="7"/>
      <c r="R5" s="7"/>
      <c r="S5" s="7"/>
      <c r="T5" s="7"/>
    </row>
    <row r="6" spans="1:20" x14ac:dyDescent="0.3">
      <c r="C6">
        <v>50000</v>
      </c>
      <c r="D6" t="s">
        <v>35</v>
      </c>
    </row>
    <row r="7" spans="1:20" x14ac:dyDescent="0.3">
      <c r="C7">
        <v>80000</v>
      </c>
      <c r="D7" t="s">
        <v>36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G5" sqref="G5"/>
    </sheetView>
  </sheetViews>
  <sheetFormatPr defaultRowHeight="14.4" x14ac:dyDescent="0.3"/>
  <cols>
    <col min="4" max="4" width="16.6640625" customWidth="1"/>
    <col min="5" max="5" width="14.109375" customWidth="1"/>
    <col min="6" max="6" width="15.77734375" customWidth="1"/>
    <col min="7" max="7" width="15.109375" bestFit="1" customWidth="1"/>
  </cols>
  <sheetData>
    <row r="1" spans="1:7" s="6" customFormat="1" x14ac:dyDescent="0.3">
      <c r="A1" s="5" t="s">
        <v>58</v>
      </c>
    </row>
    <row r="3" spans="1:7" x14ac:dyDescent="0.3">
      <c r="D3" t="s">
        <v>37</v>
      </c>
      <c r="E3" t="s">
        <v>38</v>
      </c>
      <c r="F3" t="s">
        <v>39</v>
      </c>
      <c r="G3" t="s">
        <v>59</v>
      </c>
    </row>
    <row r="4" spans="1:7" x14ac:dyDescent="0.3">
      <c r="D4" t="s">
        <v>40</v>
      </c>
      <c r="E4">
        <v>10</v>
      </c>
      <c r="F4">
        <v>12</v>
      </c>
      <c r="G4" t="str">
        <f t="shared" ref="G4:G6" si="0">IF(E4&gt;F4,"Exceeded","Not Exceeded")</f>
        <v>Not Exceeded</v>
      </c>
    </row>
    <row r="5" spans="1:7" x14ac:dyDescent="0.3">
      <c r="D5" t="s">
        <v>41</v>
      </c>
      <c r="E5">
        <v>10</v>
      </c>
      <c r="F5">
        <v>15</v>
      </c>
      <c r="G5" t="str">
        <f t="shared" si="0"/>
        <v>Not Exceeded</v>
      </c>
    </row>
    <row r="6" spans="1:7" x14ac:dyDescent="0.3">
      <c r="D6" t="s">
        <v>42</v>
      </c>
      <c r="E6">
        <v>8</v>
      </c>
      <c r="F6">
        <v>12</v>
      </c>
      <c r="G6" t="str">
        <f t="shared" si="0"/>
        <v>Not Exceeded</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H5" sqref="H5"/>
    </sheetView>
  </sheetViews>
  <sheetFormatPr defaultRowHeight="14.4" x14ac:dyDescent="0.3"/>
  <sheetData>
    <row r="1" spans="1:8" s="6" customFormat="1" x14ac:dyDescent="0.3">
      <c r="A1" s="5" t="s">
        <v>60</v>
      </c>
    </row>
    <row r="3" spans="1:8" x14ac:dyDescent="0.3">
      <c r="D3" t="s">
        <v>19</v>
      </c>
      <c r="E3" t="s">
        <v>43</v>
      </c>
    </row>
    <row r="4" spans="1:8" ht="15" thickBot="1" x14ac:dyDescent="0.35">
      <c r="D4" t="s">
        <v>29</v>
      </c>
      <c r="E4">
        <v>55000</v>
      </c>
      <c r="G4" s="1" t="s">
        <v>63</v>
      </c>
      <c r="H4" s="1" t="s">
        <v>64</v>
      </c>
    </row>
    <row r="5" spans="1:8" ht="15" thickTop="1" x14ac:dyDescent="0.3">
      <c r="D5" t="s">
        <v>44</v>
      </c>
      <c r="E5">
        <v>72000</v>
      </c>
      <c r="G5" s="2" t="s">
        <v>44</v>
      </c>
      <c r="H5" s="10">
        <f>INDEX(E4:E7,MATCH("E105",D4:D7,0))</f>
        <v>72000</v>
      </c>
    </row>
    <row r="6" spans="1:8" x14ac:dyDescent="0.3">
      <c r="D6" t="s">
        <v>45</v>
      </c>
      <c r="E6">
        <v>62000</v>
      </c>
    </row>
    <row r="7" spans="1:8" x14ac:dyDescent="0.3">
      <c r="D7" t="s">
        <v>24</v>
      </c>
      <c r="E7">
        <v>41000</v>
      </c>
    </row>
    <row r="9" spans="1:8" x14ac:dyDescent="0.3">
      <c r="B9" s="7" t="s">
        <v>61</v>
      </c>
      <c r="C9" s="7"/>
      <c r="D9" s="7"/>
      <c r="E9" s="7"/>
      <c r="F9" s="7"/>
      <c r="G9" s="7"/>
    </row>
    <row r="10" spans="1:8" x14ac:dyDescent="0.3">
      <c r="B10" s="7" t="s">
        <v>62</v>
      </c>
      <c r="C10" s="7"/>
      <c r="D10" s="7"/>
      <c r="E10" s="7"/>
      <c r="F10" s="7"/>
      <c r="G10" s="7"/>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tabSelected="1" workbookViewId="0">
      <selection activeCell="F5" sqref="F5"/>
    </sheetView>
  </sheetViews>
  <sheetFormatPr defaultRowHeight="14.4" x14ac:dyDescent="0.3"/>
  <cols>
    <col min="4" max="4" width="13" customWidth="1"/>
  </cols>
  <sheetData>
    <row r="1" spans="1:6" s="6" customFormat="1" x14ac:dyDescent="0.3">
      <c r="A1" s="5" t="s">
        <v>65</v>
      </c>
    </row>
    <row r="4" spans="1:6" x14ac:dyDescent="0.3">
      <c r="C4" t="s">
        <v>19</v>
      </c>
      <c r="D4" t="s">
        <v>21</v>
      </c>
    </row>
    <row r="5" spans="1:6" x14ac:dyDescent="0.3">
      <c r="C5" t="s">
        <v>22</v>
      </c>
      <c r="D5" t="s">
        <v>25</v>
      </c>
      <c r="F5" s="3" t="e">
        <f ca="1">xlookup(C6,C5:C8,D5:D8,0)</f>
        <v>#NAME?</v>
      </c>
    </row>
    <row r="6" spans="1:6" x14ac:dyDescent="0.3">
      <c r="C6" t="s">
        <v>46</v>
      </c>
      <c r="D6" t="s">
        <v>23</v>
      </c>
    </row>
    <row r="7" spans="1:6" x14ac:dyDescent="0.3">
      <c r="C7" t="s">
        <v>45</v>
      </c>
      <c r="D7" t="s">
        <v>8</v>
      </c>
    </row>
    <row r="8" spans="1:6" x14ac:dyDescent="0.3">
      <c r="C8" t="s">
        <v>47</v>
      </c>
      <c r="D8" t="s">
        <v>28</v>
      </c>
    </row>
    <row r="10" spans="1:6" s="7" customFormat="1" x14ac:dyDescent="0.3">
      <c r="A10" s="7" t="s">
        <v>66</v>
      </c>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2026-01-15T17:50:00Z</dcterms:created>
  <dcterms:modified xsi:type="dcterms:W3CDTF">2026-01-15T20:18:26Z</dcterms:modified>
</cp:coreProperties>
</file>