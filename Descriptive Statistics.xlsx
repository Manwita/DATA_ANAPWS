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PWSKILLS\STATISTICS\ASSIGNMENT1\"/>
    </mc:Choice>
  </mc:AlternateContent>
  <bookViews>
    <workbookView xWindow="0" yWindow="0" windowWidth="17256" windowHeight="4692"/>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 l="1"/>
  <c r="F15" i="10"/>
  <c r="F4" i="10"/>
  <c r="D10" i="9"/>
  <c r="C10" i="9"/>
  <c r="E13" i="2" l="1"/>
  <c r="B13" i="2"/>
  <c r="A7" i="1"/>
</calcChain>
</file>

<file path=xl/sharedStrings.xml><?xml version="1.0" encoding="utf-8"?>
<sst xmlns="http://schemas.openxmlformats.org/spreadsheetml/2006/main" count="54" uniqueCount="52">
  <si>
    <t>Q3: Mode in Real Life  A store records the shoe sizes sold in one day: [7, 8, 9, 8, 8, 10, 7, 9].What is the mode, and why is this information useful for the store manager?</t>
  </si>
  <si>
    <t xml:space="preserve">Q2: Mean in Real Life. A teacher records the marks of her students in a short quiz: [12, 15, 14, 16, 18, 20, 19].What is the mean score, and what does it tell us about the class’s performance?  </t>
  </si>
  <si>
    <t>Q1: Understanding Central Tendency (Easy).A bakery tracks the daily sales of muffins (in dozens) over a week: [10, 12, 11, 15, 14, 13, 12].What is the most representative value of their weekly sales, and why?</t>
  </si>
  <si>
    <t>Q4: Median in Real Life (Medium).A car dealer notes the prices of used cars: [$8,000, $9,500, $10,200, $11,000, $50,000].Why is the median a better measure than the mean in this case? Calculate the median.</t>
  </si>
  <si>
    <t>Q5: Dispersion Introduction. A student times how long it takes to finish a puzzle each day: [25, 30, 27, 35, 40] What does the range tell us about the variation in the student’s puzzle-solving time?</t>
  </si>
  <si>
    <t>Q6: Range in Action (Medium). A farmer records the weekly weight of harvested apples (kg): [100, 105, 98, 110, 120].Find the range. How can this help the farmer in planning his packaging?</t>
  </si>
  <si>
    <t>Q9: Combining Measures (Hard). A family records their monthly electricity usage (in kWh): [400, 420, 390, 450, 410].Find the mean and standard deviation. What do these values together tell you about the family’s energy use
pattern?</t>
  </si>
  <si>
    <t>Q10: Practical Application (Hard). A basketball player’s points in 8 games are recorded: [15, 18, 20, 22, 25, 17, 19, 21].Find the mean, median, mode, range, and standard deviation. What insights can these measures provide about the player’s scoring performance?</t>
  </si>
  <si>
    <t>data</t>
  </si>
  <si>
    <t>Mean=Sum of all sales​/umber of days</t>
  </si>
  <si>
    <t>sum of all sales</t>
  </si>
  <si>
    <t>no of days</t>
  </si>
  <si>
    <t>Mean=87/7=12.43</t>
  </si>
  <si>
    <t>Since there is no outliers here we can go for mean.</t>
  </si>
  <si>
    <t>sum of all marks</t>
  </si>
  <si>
    <t>no of students</t>
  </si>
  <si>
    <t>Mean=114/7</t>
  </si>
  <si>
    <t>This tells us that, on average, students scored around 16 marks, which indicates that the class performed fairly well on the quiz.</t>
  </si>
  <si>
    <t>Since the data has no extreme outliers, the mean is a reliable measure of the class’s typical performance.</t>
  </si>
  <si>
    <r>
      <t xml:space="preserve">The mean score is </t>
    </r>
    <r>
      <rPr>
        <b/>
        <sz val="11"/>
        <color rgb="FF006100"/>
        <rFont val="Calibri"/>
        <family val="2"/>
        <scheme val="minor"/>
      </rPr>
      <t>16.28</t>
    </r>
  </si>
  <si>
    <t>The mode is 8, because it appears most frequently (three times) in the list.</t>
  </si>
  <si>
    <t>Knowing the mode helps the store manager understand which shoe size is sold the most. This allows them to stock more of size 8, reduce shortages, improve customer satisfaction</t>
  </si>
  <si>
    <t>When the car prices are arranged from lowest to highest order(sorting), the middle price is $10,200, so this is the median.</t>
  </si>
  <si>
    <t>Here, we have outlier $50,000, which would raise the average and make it seem like cars usually cost more than they really do. The median ignores this extreme value and shows a more realistic price that most customers can expect.</t>
  </si>
  <si>
    <r>
      <t xml:space="preserve">Here, the shortest time is 25 minutes and the longest time is 40 minutes, so the range is </t>
    </r>
    <r>
      <rPr>
        <b/>
        <sz val="11"/>
        <color rgb="FF006100"/>
        <rFont val="Calibri"/>
        <family val="2"/>
        <scheme val="minor"/>
      </rPr>
      <t>15</t>
    </r>
    <r>
      <rPr>
        <sz val="11"/>
        <color rgb="FF006100"/>
        <rFont val="Calibri"/>
        <family val="2"/>
        <scheme val="minor"/>
      </rPr>
      <t xml:space="preserve"> minutes.</t>
    </r>
  </si>
  <si>
    <t>The range compares the fastest and slowest times. In this case, the student took 25 minutes at the quickest and 40 minutes at the slowest, so there is a 15-minute difference.</t>
  </si>
  <si>
    <t>This means the student’s puzzle-solving time varies quite a bit from one day to another and is not the same every day.</t>
  </si>
  <si>
    <t>This helps the farmer understand how much the harvest weight can change from week to week. Knowing this variation allows him to plan packaging better, such as preparing flexible packaging sizes or extra containers for weeks with higher yields.</t>
  </si>
  <si>
    <t>The range is found by subtracting the smallest value from the largest value.</t>
  </si>
  <si>
    <t>Here, the lowest weight is 98 kg and the highest is 120 kg, so the range is 22 kg.</t>
  </si>
  <si>
    <t>Q8: Standard Deviation in Context . A finance student compares the daily price fluctuations of two cryptocurrencies. Coin A: standard deviation = $30 Coin B: standard deviation = $120 Which coin is riskier to invest in, and why?</t>
  </si>
  <si>
    <t>Company A is more consistent.</t>
  </si>
  <si>
    <t>This is because lower variance means the delivery times change less. Company A’s delays are more similar each time, while Company B’s higher variance shows its delays are more uneven and less predictable.</t>
  </si>
  <si>
    <t>Q7: Variance for Decision-Making  Two delivery companies track delivery delays (in minutes).
Company A: variance = 6
Company B: variance = 15
Which company is more consistent, and why?</t>
  </si>
  <si>
    <t>Coin B is riskier to invest in.</t>
  </si>
  <si>
    <t>This is because it has a much higher standard deviation, which means its prices go up and down a lot more each day. Bigger price changes mean higher risk, while Coin A is more stable in comparison.</t>
  </si>
  <si>
    <t>Mean</t>
  </si>
  <si>
    <t>std deviation</t>
  </si>
  <si>
    <t>The mean shows that the family usually uses around 414 kWh per month.</t>
  </si>
  <si>
    <t>The standard deviation is fairly small, which means their electricity use does not change a lot from month to month. Overall, the family’s energy usage is quite steady with only small variations.</t>
  </si>
  <si>
    <t>Median:sort the data:15, 17, 18, 19, 20, 21, 22, 25.
Median = average of the 4th and 5th values = (19 + 20) ÷ 2 = 19.5</t>
  </si>
  <si>
    <t>MODE:There is no mode, because no score repeats.</t>
  </si>
  <si>
    <t>Range=Highest − Lowest = 25 − 15 = 10</t>
  </si>
  <si>
    <t>Standard Deviation</t>
  </si>
  <si>
    <t>The mean (19.6) shows the player usually scores around 20 points per game.</t>
  </si>
  <si>
    <t>The median (19.5) is very close to the mean, showing consistent performance.</t>
  </si>
  <si>
    <t>No mode means the player doesn’t rely on the same score every game.</t>
  </si>
  <si>
    <t>The range (10) shows the difference between the best and worst games is moderate.</t>
  </si>
  <si>
    <t>The standard deviation (3.1) is low, meaning the player’s scoring is fairly steady, not very unpredictable.</t>
  </si>
  <si>
    <t>Overall: The player is a consistent scorer with only small ups and downs across games.</t>
  </si>
  <si>
    <t>Mean=Sum of all sales​/number of days</t>
  </si>
  <si>
    <t>mean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</si>
</sst>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006100"/>
      <name val="Calibri"/>
      <family val="2"/>
      <scheme val="minor"/>
    </font>
    <font>
      <b/>
      <sz val="11"/>
      <color rgb="FF006100"/>
      <name val="Calibri"/>
      <family val="2"/>
      <scheme val="minor"/>
    </font>
    <font>
      <sz val="11"/>
      <color rgb="FF9C6500"/>
      <name val="Calibri"/>
      <family val="2"/>
      <scheme val="minor"/>
    </font>
    <font>
      <b/>
      <sz val="11"/>
      <color rgb="FFFA7D00"/>
      <name val="Calibri"/>
      <family val="2"/>
      <scheme val="minor"/>
    </font>
  </fonts>
  <fills count="7">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theme="9" tint="0.79998168889431442"/>
        <bgColor indexed="64"/>
      </patternFill>
    </fill>
    <fill>
      <patternFill patternType="solid">
        <fgColor rgb="FFFFEB9C"/>
      </patternFill>
    </fill>
    <fill>
      <patternFill patternType="solid">
        <fgColor rgb="FFF2F2F2"/>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 fillId="2" borderId="0" applyNumberFormat="0" applyBorder="0" applyAlignment="0" applyProtection="0"/>
    <xf numFmtId="0" fontId="3" fillId="5" borderId="0" applyNumberFormat="0" applyBorder="0" applyAlignment="0" applyProtection="0"/>
    <xf numFmtId="0" fontId="4" fillId="6" borderId="1" applyNumberFormat="0" applyAlignment="0" applyProtection="0"/>
  </cellStyleXfs>
  <cellXfs count="14">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xf numFmtId="0" fontId="0" fillId="3" borderId="0" xfId="0" applyFill="1"/>
    <xf numFmtId="0" fontId="0" fillId="4" borderId="0" xfId="0" applyFill="1"/>
    <xf numFmtId="0" fontId="1" fillId="2" borderId="0" xfId="1"/>
    <xf numFmtId="0" fontId="4" fillId="6" borderId="1" xfId="3"/>
    <xf numFmtId="0" fontId="1" fillId="2" borderId="0" xfId="1" applyAlignment="1">
      <alignment horizontal="center"/>
    </xf>
    <xf numFmtId="0" fontId="3" fillId="5" borderId="0" xfId="2"/>
    <xf numFmtId="0" fontId="3" fillId="5" borderId="0" xfId="2" applyAlignment="1">
      <alignment horizontal="center"/>
    </xf>
    <xf numFmtId="0" fontId="1" fillId="0" borderId="0" xfId="1" applyFill="1"/>
    <xf numFmtId="0" fontId="1" fillId="2" borderId="0" xfId="1" applyAlignment="1"/>
    <xf numFmtId="0" fontId="1" fillId="2" borderId="1" xfId="1" applyBorder="1"/>
  </cellXfs>
  <cellStyles count="4">
    <cellStyle name="Calculation" xfId="3" builtinId="22"/>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id="1" name="Table1" displayName="Table1" ref="I3:I10" totalsRowShown="0">
  <autoFilter ref="I3:I10"/>
  <tableColumns count="1">
    <tableColumn id="1" name="da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abSelected="1" workbookViewId="0">
      <selection activeCell="A4" sqref="A4"/>
    </sheetView>
  </sheetViews>
  <sheetFormatPr defaultRowHeight="14.4" x14ac:dyDescent="0.3"/>
  <sheetData>
    <row r="1" spans="1:11" x14ac:dyDescent="0.3">
      <c r="A1" t="s">
        <v>2</v>
      </c>
    </row>
    <row r="3" spans="1:11" x14ac:dyDescent="0.3">
      <c r="I3" t="s">
        <v>8</v>
      </c>
    </row>
    <row r="4" spans="1:11" x14ac:dyDescent="0.3">
      <c r="A4" s="4" t="s">
        <v>50</v>
      </c>
      <c r="B4" s="4"/>
      <c r="C4" s="4"/>
      <c r="D4" s="4"/>
      <c r="I4">
        <v>10</v>
      </c>
    </row>
    <row r="5" spans="1:11" x14ac:dyDescent="0.3">
      <c r="I5">
        <v>12</v>
      </c>
    </row>
    <row r="6" spans="1:11" x14ac:dyDescent="0.3">
      <c r="I6">
        <v>11</v>
      </c>
    </row>
    <row r="7" spans="1:11" x14ac:dyDescent="0.3">
      <c r="A7" s="7">
        <f>SUM(Table1[data])</f>
        <v>87</v>
      </c>
      <c r="B7" t="s">
        <v>10</v>
      </c>
      <c r="I7">
        <v>15</v>
      </c>
    </row>
    <row r="8" spans="1:11" x14ac:dyDescent="0.3">
      <c r="A8" s="5">
        <v>7</v>
      </c>
      <c r="B8" t="s">
        <v>11</v>
      </c>
      <c r="I8">
        <v>14</v>
      </c>
    </row>
    <row r="9" spans="1:11" x14ac:dyDescent="0.3">
      <c r="I9">
        <v>13</v>
      </c>
    </row>
    <row r="10" spans="1:11" x14ac:dyDescent="0.3">
      <c r="I10">
        <v>12</v>
      </c>
      <c r="K10" s="13" t="s">
        <v>51</v>
      </c>
    </row>
    <row r="11" spans="1:11" x14ac:dyDescent="0.3">
      <c r="B11" s="5" t="s">
        <v>12</v>
      </c>
      <c r="C11" s="5"/>
      <c r="K11" s="7">
        <f>AVERAGE(Table1[data])</f>
        <v>12.428571428571429</v>
      </c>
    </row>
    <row r="13" spans="1:11" x14ac:dyDescent="0.3">
      <c r="B13" s="5" t="s">
        <v>13</v>
      </c>
      <c r="C13" s="5"/>
      <c r="D13" s="5"/>
      <c r="E13" s="5"/>
      <c r="F13"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selection activeCell="E13" sqref="E13"/>
    </sheetView>
  </sheetViews>
  <sheetFormatPr defaultRowHeight="14.4" x14ac:dyDescent="0.3"/>
  <cols>
    <col min="4" max="4" width="11.109375" customWidth="1"/>
  </cols>
  <sheetData>
    <row r="1" spans="1:12" x14ac:dyDescent="0.3">
      <c r="A1" t="s">
        <v>1</v>
      </c>
    </row>
    <row r="3" spans="1:12" x14ac:dyDescent="0.3">
      <c r="C3">
        <v>12</v>
      </c>
    </row>
    <row r="4" spans="1:12" x14ac:dyDescent="0.3">
      <c r="C4">
        <v>15</v>
      </c>
    </row>
    <row r="5" spans="1:12" x14ac:dyDescent="0.3">
      <c r="C5">
        <v>14</v>
      </c>
    </row>
    <row r="6" spans="1:12" x14ac:dyDescent="0.3">
      <c r="C6">
        <v>16</v>
      </c>
    </row>
    <row r="7" spans="1:12" x14ac:dyDescent="0.3">
      <c r="C7">
        <v>18</v>
      </c>
    </row>
    <row r="8" spans="1:12" x14ac:dyDescent="0.3">
      <c r="C8">
        <v>20</v>
      </c>
    </row>
    <row r="9" spans="1:12" x14ac:dyDescent="0.3">
      <c r="C9">
        <v>19</v>
      </c>
    </row>
    <row r="11" spans="1:12" x14ac:dyDescent="0.3">
      <c r="A11" s="4" t="s">
        <v>9</v>
      </c>
    </row>
    <row r="13" spans="1:12" x14ac:dyDescent="0.3">
      <c r="A13" s="5" t="s">
        <v>14</v>
      </c>
      <c r="B13" s="5">
        <f>SUM(C3:C9)</f>
        <v>114</v>
      </c>
      <c r="D13" s="5" t="s">
        <v>16</v>
      </c>
      <c r="E13" s="7">
        <f>AVERAGE(C3:C9)</f>
        <v>16.285714285714285</v>
      </c>
    </row>
    <row r="14" spans="1:12" x14ac:dyDescent="0.3">
      <c r="A14" s="5" t="s">
        <v>15</v>
      </c>
      <c r="B14" s="5">
        <v>7</v>
      </c>
    </row>
    <row r="16" spans="1:12" x14ac:dyDescent="0.3">
      <c r="A16" s="6" t="s">
        <v>19</v>
      </c>
      <c r="B16" s="6"/>
      <c r="C16" s="6"/>
      <c r="D16" s="6"/>
      <c r="E16" s="6"/>
      <c r="F16" s="6"/>
      <c r="G16" s="6"/>
      <c r="H16" s="6"/>
      <c r="I16" s="6"/>
      <c r="J16" s="6"/>
      <c r="K16" s="6"/>
      <c r="L16" s="6"/>
    </row>
    <row r="17" spans="1:12" x14ac:dyDescent="0.3">
      <c r="A17" s="6"/>
      <c r="B17" s="6"/>
      <c r="C17" s="6"/>
      <c r="D17" s="6"/>
      <c r="E17" s="6"/>
      <c r="F17" s="6"/>
      <c r="G17" s="6"/>
      <c r="H17" s="6"/>
      <c r="I17" s="6"/>
      <c r="J17" s="6"/>
      <c r="K17" s="6"/>
      <c r="L17" s="6"/>
    </row>
    <row r="18" spans="1:12" x14ac:dyDescent="0.3">
      <c r="A18" s="6" t="s">
        <v>17</v>
      </c>
      <c r="B18" s="6"/>
      <c r="C18" s="6"/>
      <c r="D18" s="6"/>
      <c r="E18" s="6"/>
      <c r="F18" s="6"/>
      <c r="G18" s="6"/>
      <c r="H18" s="6"/>
      <c r="I18" s="6"/>
      <c r="J18" s="6"/>
      <c r="K18" s="6"/>
      <c r="L18" s="6"/>
    </row>
    <row r="19" spans="1:12" x14ac:dyDescent="0.3">
      <c r="A19" s="6"/>
      <c r="B19" s="6"/>
      <c r="C19" s="6"/>
      <c r="D19" s="6"/>
      <c r="E19" s="6"/>
      <c r="F19" s="6"/>
      <c r="G19" s="6"/>
      <c r="H19" s="6"/>
      <c r="I19" s="6"/>
      <c r="J19" s="6"/>
      <c r="K19" s="6"/>
      <c r="L19" s="6"/>
    </row>
    <row r="20" spans="1:12" x14ac:dyDescent="0.3">
      <c r="A20" s="6" t="s">
        <v>18</v>
      </c>
      <c r="B20" s="6"/>
      <c r="C20" s="6"/>
      <c r="D20" s="6"/>
      <c r="E20" s="6"/>
      <c r="F20" s="6"/>
      <c r="G20" s="6"/>
      <c r="H20" s="6"/>
      <c r="I20" s="6"/>
      <c r="J20" s="6"/>
      <c r="K20" s="6"/>
      <c r="L20" s="6"/>
    </row>
    <row r="21" spans="1:12" x14ac:dyDescent="0.3">
      <c r="A21" s="6"/>
      <c r="B21" s="6"/>
      <c r="C21" s="6"/>
      <c r="D21" s="6"/>
      <c r="E21" s="6"/>
      <c r="F21" s="6"/>
      <c r="G21" s="6"/>
      <c r="H21" s="6"/>
      <c r="I21" s="6"/>
      <c r="J21" s="6"/>
      <c r="K21" s="6"/>
      <c r="L21"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A4" sqref="A4:XFD4"/>
    </sheetView>
  </sheetViews>
  <sheetFormatPr defaultRowHeight="14.4" x14ac:dyDescent="0.3"/>
  <sheetData>
    <row r="1" spans="1:1" x14ac:dyDescent="0.3">
      <c r="A1" t="s">
        <v>0</v>
      </c>
    </row>
    <row r="3" spans="1:1" s="6" customFormat="1" x14ac:dyDescent="0.3">
      <c r="A3" s="6" t="s">
        <v>20</v>
      </c>
    </row>
    <row r="4" spans="1:1" s="6" customFormat="1" x14ac:dyDescent="0.3">
      <c r="A4" s="6"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5" sqref="A5:XFD5"/>
    </sheetView>
  </sheetViews>
  <sheetFormatPr defaultRowHeight="14.4" x14ac:dyDescent="0.3"/>
  <sheetData>
    <row r="1" spans="1:1" x14ac:dyDescent="0.3">
      <c r="A1" t="s">
        <v>3</v>
      </c>
    </row>
    <row r="3" spans="1:1" s="6" customFormat="1" x14ac:dyDescent="0.3">
      <c r="A3" s="6" t="s">
        <v>22</v>
      </c>
    </row>
    <row r="5" spans="1:1" s="6" customFormat="1" x14ac:dyDescent="0.3">
      <c r="A5" s="6"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H10" sqref="H10"/>
    </sheetView>
  </sheetViews>
  <sheetFormatPr defaultRowHeight="14.4" x14ac:dyDescent="0.3"/>
  <sheetData>
    <row r="1" spans="1:1" x14ac:dyDescent="0.3">
      <c r="A1" t="s">
        <v>4</v>
      </c>
    </row>
    <row r="3" spans="1:1" s="6" customFormat="1" x14ac:dyDescent="0.3">
      <c r="A3" s="6" t="s">
        <v>24</v>
      </c>
    </row>
    <row r="4" spans="1:1" s="6" customFormat="1" x14ac:dyDescent="0.3">
      <c r="A4" s="6" t="s">
        <v>25</v>
      </c>
    </row>
    <row r="5" spans="1:1" s="6" customFormat="1" x14ac:dyDescent="0.3">
      <c r="A5" s="6" t="s">
        <v>26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L17" sqref="L17"/>
    </sheetView>
  </sheetViews>
  <sheetFormatPr defaultRowHeight="14.4" x14ac:dyDescent="0.3"/>
  <sheetData>
    <row r="1" spans="1:1" x14ac:dyDescent="0.3">
      <c r="A1" t="s">
        <v>5</v>
      </c>
    </row>
    <row r="3" spans="1:1" s="6" customFormat="1" x14ac:dyDescent="0.3">
      <c r="A3" s="6" t="s">
        <v>28</v>
      </c>
    </row>
    <row r="4" spans="1:1" s="6" customFormat="1" x14ac:dyDescent="0.3">
      <c r="A4" s="6" t="s">
        <v>29</v>
      </c>
    </row>
    <row r="5" spans="1:1" s="6" customFormat="1" x14ac:dyDescent="0.3"/>
    <row r="6" spans="1:1" s="6" customFormat="1" x14ac:dyDescent="0.3">
      <c r="A6" s="6" t="s">
        <v>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4.4" x14ac:dyDescent="0.3"/>
  <cols>
    <col min="1" max="1" width="62.33203125" customWidth="1"/>
  </cols>
  <sheetData>
    <row r="1" spans="1:2" ht="72" x14ac:dyDescent="0.3">
      <c r="A1" s="2" t="s">
        <v>33</v>
      </c>
      <c r="B1" s="1"/>
    </row>
    <row r="4" spans="1:2" s="6" customFormat="1" x14ac:dyDescent="0.3">
      <c r="A4" s="6" t="s">
        <v>31</v>
      </c>
    </row>
    <row r="5" spans="1:2" s="6" customFormat="1" x14ac:dyDescent="0.3">
      <c r="A5" s="6" t="s">
        <v>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3" sqref="A3:XFD5"/>
    </sheetView>
  </sheetViews>
  <sheetFormatPr defaultRowHeight="14.4" x14ac:dyDescent="0.3"/>
  <sheetData>
    <row r="1" spans="1:1" x14ac:dyDescent="0.3">
      <c r="A1" t="s">
        <v>30</v>
      </c>
    </row>
    <row r="3" spans="1:1" s="6" customFormat="1" x14ac:dyDescent="0.3">
      <c r="A3" s="6" t="s">
        <v>34</v>
      </c>
    </row>
    <row r="4" spans="1:1" s="6" customFormat="1" x14ac:dyDescent="0.3"/>
    <row r="5" spans="1:1" s="6" customFormat="1" x14ac:dyDescent="0.3">
      <c r="A5" s="6" t="s">
        <v>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C10" sqref="C10:D10"/>
    </sheetView>
  </sheetViews>
  <sheetFormatPr defaultRowHeight="14.4" x14ac:dyDescent="0.3"/>
  <cols>
    <col min="1" max="1" width="42.21875" customWidth="1"/>
    <col min="4" max="4" width="11.44140625" bestFit="1" customWidth="1"/>
  </cols>
  <sheetData>
    <row r="1" spans="1:4" x14ac:dyDescent="0.3">
      <c r="A1" s="3" t="s">
        <v>6</v>
      </c>
    </row>
    <row r="2" spans="1:4" x14ac:dyDescent="0.3">
      <c r="A2" s="1"/>
    </row>
    <row r="3" spans="1:4" x14ac:dyDescent="0.3">
      <c r="B3">
        <v>400</v>
      </c>
    </row>
    <row r="4" spans="1:4" x14ac:dyDescent="0.3">
      <c r="B4">
        <v>420</v>
      </c>
    </row>
    <row r="5" spans="1:4" x14ac:dyDescent="0.3">
      <c r="B5">
        <v>390</v>
      </c>
    </row>
    <row r="6" spans="1:4" x14ac:dyDescent="0.3">
      <c r="B6">
        <v>450</v>
      </c>
    </row>
    <row r="7" spans="1:4" x14ac:dyDescent="0.3">
      <c r="B7">
        <v>410</v>
      </c>
    </row>
    <row r="9" spans="1:4" x14ac:dyDescent="0.3">
      <c r="C9" s="10" t="s">
        <v>36</v>
      </c>
      <c r="D9" s="9" t="s">
        <v>37</v>
      </c>
    </row>
    <row r="10" spans="1:4" x14ac:dyDescent="0.3">
      <c r="C10" s="7">
        <f>AVERAGE(B3:B7)</f>
        <v>414</v>
      </c>
      <c r="D10" s="7">
        <f>_xlfn.STDEV.S(B3:B7)</f>
        <v>23.021728866442675</v>
      </c>
    </row>
    <row r="11" spans="1:4" x14ac:dyDescent="0.3">
      <c r="C11" s="11"/>
    </row>
    <row r="13" spans="1:4" s="6" customFormat="1" x14ac:dyDescent="0.3">
      <c r="A13" s="6" t="s">
        <v>38</v>
      </c>
    </row>
    <row r="14" spans="1:4" s="6" customFormat="1" x14ac:dyDescent="0.3">
      <c r="A14" s="6" t="s">
        <v>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workbookViewId="0">
      <selection activeCell="F26" sqref="F26"/>
    </sheetView>
  </sheetViews>
  <sheetFormatPr defaultRowHeight="14.4" x14ac:dyDescent="0.3"/>
  <sheetData>
    <row r="1" spans="1:16" x14ac:dyDescent="0.3">
      <c r="A1" t="s">
        <v>7</v>
      </c>
    </row>
    <row r="3" spans="1:16" x14ac:dyDescent="0.3">
      <c r="C3" s="8" t="s">
        <v>8</v>
      </c>
      <c r="F3" s="6" t="s">
        <v>36</v>
      </c>
    </row>
    <row r="4" spans="1:16" x14ac:dyDescent="0.3">
      <c r="C4" s="6">
        <v>15</v>
      </c>
      <c r="F4" s="7">
        <f>AVERAGE(C4:C11)</f>
        <v>19.625</v>
      </c>
    </row>
    <row r="5" spans="1:16" x14ac:dyDescent="0.3">
      <c r="C5" s="6">
        <v>18</v>
      </c>
    </row>
    <row r="6" spans="1:16" x14ac:dyDescent="0.3">
      <c r="C6" s="6">
        <v>20</v>
      </c>
    </row>
    <row r="7" spans="1:16" x14ac:dyDescent="0.3">
      <c r="C7" s="6">
        <v>22</v>
      </c>
      <c r="F7" s="12" t="s">
        <v>40</v>
      </c>
      <c r="G7" s="6"/>
      <c r="H7" s="6"/>
      <c r="I7" s="6"/>
      <c r="J7" s="6"/>
      <c r="K7" s="6"/>
      <c r="L7" s="6"/>
      <c r="M7" s="6"/>
      <c r="N7" s="6"/>
      <c r="O7" s="6"/>
      <c r="P7" s="6"/>
    </row>
    <row r="8" spans="1:16" x14ac:dyDescent="0.3">
      <c r="C8" s="6">
        <v>25</v>
      </c>
      <c r="F8" s="3"/>
    </row>
    <row r="9" spans="1:16" x14ac:dyDescent="0.3">
      <c r="C9" s="6">
        <v>17</v>
      </c>
      <c r="F9" s="6" t="s">
        <v>41</v>
      </c>
      <c r="G9" s="6"/>
      <c r="H9" s="6"/>
      <c r="I9" s="6"/>
      <c r="J9" s="6"/>
    </row>
    <row r="10" spans="1:16" x14ac:dyDescent="0.3">
      <c r="C10" s="6">
        <v>19</v>
      </c>
    </row>
    <row r="11" spans="1:16" x14ac:dyDescent="0.3">
      <c r="C11" s="6">
        <v>21</v>
      </c>
      <c r="F11" s="6" t="s">
        <v>42</v>
      </c>
      <c r="G11" s="6"/>
      <c r="H11" s="6"/>
      <c r="I11" s="6"/>
    </row>
    <row r="12" spans="1:16" x14ac:dyDescent="0.3">
      <c r="F12" s="6"/>
      <c r="G12" s="6"/>
      <c r="H12" s="6"/>
      <c r="I12" s="6"/>
    </row>
    <row r="14" spans="1:16" x14ac:dyDescent="0.3">
      <c r="F14" s="6" t="s">
        <v>43</v>
      </c>
    </row>
    <row r="15" spans="1:16" x14ac:dyDescent="0.3">
      <c r="F15" s="7">
        <f>_xlfn.STDEV.S(C4:C11)</f>
        <v>3.1139088893910452</v>
      </c>
    </row>
    <row r="17" spans="1:1" s="6" customFormat="1" x14ac:dyDescent="0.3">
      <c r="A17" s="6" t="s">
        <v>44</v>
      </c>
    </row>
    <row r="18" spans="1:1" s="6" customFormat="1" x14ac:dyDescent="0.3"/>
    <row r="19" spans="1:1" s="6" customFormat="1" x14ac:dyDescent="0.3">
      <c r="A19" s="6" t="s">
        <v>45</v>
      </c>
    </row>
    <row r="20" spans="1:1" s="6" customFormat="1" x14ac:dyDescent="0.3"/>
    <row r="21" spans="1:1" s="6" customFormat="1" x14ac:dyDescent="0.3">
      <c r="A21" s="6" t="s">
        <v>46</v>
      </c>
    </row>
    <row r="22" spans="1:1" s="6" customFormat="1" x14ac:dyDescent="0.3"/>
    <row r="23" spans="1:1" s="6" customFormat="1" x14ac:dyDescent="0.3">
      <c r="A23" s="6" t="s">
        <v>47</v>
      </c>
    </row>
    <row r="24" spans="1:1" s="6" customFormat="1" x14ac:dyDescent="0.3"/>
    <row r="25" spans="1:1" s="6" customFormat="1" x14ac:dyDescent="0.3">
      <c r="A25" s="6" t="s">
        <v>48</v>
      </c>
    </row>
    <row r="26" spans="1:1" s="6" customFormat="1" x14ac:dyDescent="0.3"/>
    <row r="27" spans="1:1" s="6" customFormat="1" x14ac:dyDescent="0.3">
      <c r="A27" s="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2026-01-18T14:06:18Z</dcterms:created>
  <dcterms:modified xsi:type="dcterms:W3CDTF">2026-01-19T18:21:43Z</dcterms:modified>
</cp:coreProperties>
</file>